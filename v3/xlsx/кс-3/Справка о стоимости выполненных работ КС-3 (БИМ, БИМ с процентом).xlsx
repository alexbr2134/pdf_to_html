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!Поручения\2026\ТФД\"/>
    </mc:Choice>
  </mc:AlternateContent>
  <bookViews>
    <workbookView xWindow="-120" yWindow="-120" windowWidth="29040" windowHeight="15840" tabRatio="599" firstSheet="2" activeTab="2"/>
  </bookViews>
  <sheets>
    <sheet name="КС-2 (16 граф ТЕР_ФЕР)" sheetId="3" state="hidden" r:id="rId1"/>
    <sheet name="Рекомендации (2)" sheetId="12" state="hidden" r:id="rId2"/>
    <sheet name="КС-3" sheetId="7" r:id="rId3"/>
    <sheet name="Порядок заполнения" sheetId="9" r:id="rId4"/>
    <sheet name="Акт &amp; граф УЕР" sheetId="4" state="hidden" r:id="rId5"/>
  </sheets>
  <externalReferences>
    <externalReference r:id="rId6"/>
    <externalReference r:id="rId7"/>
    <externalReference r:id="rId8"/>
  </externalReferences>
  <definedNames>
    <definedName name="_FilterDatabase" localSheetId="1" hidden="1">#REF!</definedName>
    <definedName name="_FilterDatabase" hidden="1">#REF!</definedName>
    <definedName name="_xlnm._FilterDatabase" localSheetId="2" hidden="1">#REF!</definedName>
    <definedName name="_xlnm._FilterDatabase" localSheetId="3" hidden="1">#REF!</definedName>
    <definedName name="_xlnm._FilterDatabase" localSheetId="1" hidden="1">#REF!</definedName>
    <definedName name="_xlnm._FilterDatabase" hidden="1">#REF!</definedName>
    <definedName name="anch_costWorkRotation" localSheetId="2">#REF!</definedName>
    <definedName name="anch_costWorkRotation" localSheetId="3">#REF!</definedName>
    <definedName name="anch_costWorkRotation" localSheetId="1">#REF!</definedName>
    <definedName name="anch_costWorkRotation">#REF!</definedName>
    <definedName name="anch_indexes" localSheetId="2">#REF!</definedName>
    <definedName name="anch_indexes" localSheetId="3">#REF!</definedName>
    <definedName name="anch_indexes" localSheetId="1">#REF!</definedName>
    <definedName name="anch_indexes">#REF!</definedName>
    <definedName name="anch_neco" localSheetId="1">#REF!</definedName>
    <definedName name="anch_neco">#REF!</definedName>
    <definedName name="anch_negabaritSum" localSheetId="1">#REF!</definedName>
    <definedName name="anch_negabaritSum">#REF!</definedName>
    <definedName name="anch_others" localSheetId="1">#REF!</definedName>
    <definedName name="anch_others">#REF!</definedName>
    <definedName name="anch_others2" localSheetId="1">#REF!</definedName>
    <definedName name="anch_others2">#REF!</definedName>
    <definedName name="anch_safetySum" localSheetId="1">#REF!</definedName>
    <definedName name="anch_safetySum">#REF!</definedName>
    <definedName name="anch_seasons" localSheetId="1">#REF!</definedName>
    <definedName name="anch_seasons">#REF!</definedName>
    <definedName name="anch_specificSum" localSheetId="1">#REF!</definedName>
    <definedName name="anch_specificSum">#REF!</definedName>
    <definedName name="anch_totals" localSheetId="1">#REF!</definedName>
    <definedName name="anch_totals">#REF!</definedName>
    <definedName name="anch_vahtMerge" localSheetId="1">#REF!</definedName>
    <definedName name="anch_vahtMerge">#REF!</definedName>
    <definedName name="delivery_cost_csp" localSheetId="1">#REF!</definedName>
    <definedName name="delivery_cost_csp">#REF!</definedName>
    <definedName name="delivery_cost_vp" localSheetId="1">#REF!</definedName>
    <definedName name="delivery_cost_vp">#REF!</definedName>
    <definedName name="delivery_percent" localSheetId="1">#REF!</definedName>
    <definedName name="delivery_percent">#REF!</definedName>
    <definedName name="FOTImp" localSheetId="4">'Акт &amp; граф УЕР'!$L$14</definedName>
    <definedName name="FOTImp" localSheetId="0">'КС-2 (16 граф ТЕР_ФЕР)'!$J$17</definedName>
    <definedName name="frn" localSheetId="1" hidden="1">#REF!</definedName>
    <definedName name="frn" hidden="1">#REF!</definedName>
    <definedName name="Ind" localSheetId="4">'Акт &amp; граф УЕР'!#REF!</definedName>
    <definedName name="Ind" localSheetId="0">'КС-2 (16 граф ТЕР_ФЕР)'!$C$14</definedName>
    <definedName name="Investor" localSheetId="4">'Акт &amp; граф УЕР'!#REF!</definedName>
    <definedName name="Investor" localSheetId="0">'КС-2 (16 граф ТЕР_ФЕР)'!$C$5</definedName>
    <definedName name="Isp" localSheetId="4">'Акт &amp; граф УЕР'!#REF!</definedName>
    <definedName name="Isp" localSheetId="0">'КС-2 (16 граф ТЕР_ФЕР)'!#REF!</definedName>
    <definedName name="LinkApplication" localSheetId="2">#REF!</definedName>
    <definedName name="LinkApplication" localSheetId="3">#REF!</definedName>
    <definedName name="LinkApplication" localSheetId="1">#REF!</definedName>
    <definedName name="LinkApplication">#REF!</definedName>
    <definedName name="Linkpos" localSheetId="2">#REF!</definedName>
    <definedName name="Linkpos" localSheetId="3">#REF!</definedName>
    <definedName name="Linkpos" localSheetId="1">#REF!</definedName>
    <definedName name="Linkpos">#REF!</definedName>
    <definedName name="MTRConstructorTable" localSheetId="3">'[1]Ведомость МТР Подрядчик '!$A$17:$F$17</definedName>
    <definedName name="MTRConstructorTable" localSheetId="1">'[1]Ведомость МТР Подрядчик '!$A$17:$F$17</definedName>
    <definedName name="MTRConstructorTable">'[1]Ведомость МТР Подрядчик '!$A$17:$F$17</definedName>
    <definedName name="MTRCost" localSheetId="2">#REF!</definedName>
    <definedName name="MTRCost" localSheetId="3">#REF!</definedName>
    <definedName name="MTRCost" localSheetId="1">#REF!</definedName>
    <definedName name="MTRCost">#REF!</definedName>
    <definedName name="MTROwnerTable" localSheetId="3">'[2]Ведомость МТР Заказчик'!$A$17:$F$17</definedName>
    <definedName name="MTROwnerTable" localSheetId="1">'[2]Ведомость МТР Заказчик'!$A$17:$F$17</definedName>
    <definedName name="MTROwnerTable">'[2]Ведомость МТР Заказчик'!$A$17:$F$17</definedName>
    <definedName name="NormaLimit" localSheetId="2">#REF!</definedName>
    <definedName name="NormaLimit" localSheetId="3">#REF!</definedName>
    <definedName name="NormaLimit" localSheetId="1">#REF!</definedName>
    <definedName name="NormaLimit">#REF!</definedName>
    <definedName name="NZ_Parametrs" localSheetId="3">[3]НЗ_Параметры!$10:$18</definedName>
    <definedName name="NZ_Parametrs" localSheetId="1">[3]НЗ_Параметры!$10:$18</definedName>
    <definedName name="NZ_Parametrs">[3]НЗ_Параметры!$10:$18</definedName>
    <definedName name="NZ_Seasons" localSheetId="3">[3]НЗ_Параметры!$8:$8</definedName>
    <definedName name="NZ_Seasons" localSheetId="1">[3]НЗ_Параметры!$8:$8</definedName>
    <definedName name="NZ_Seasons">[3]НЗ_Параметры!$8:$8</definedName>
    <definedName name="NZSingnatures" localSheetId="3">[3]НЗ_Параметры!$A$19:$F$19</definedName>
    <definedName name="NZSingnatures" localSheetId="1">[3]НЗ_Параметры!$A$19:$F$19</definedName>
    <definedName name="NZSingnatures">[3]НЗ_Параметры!$A$19:$F$19</definedName>
    <definedName name="Obj" localSheetId="4">'Акт &amp; граф УЕР'!#REF!</definedName>
    <definedName name="Obj" localSheetId="0">'КС-2 (16 граф ТЕР_ФЕР)'!#REF!</definedName>
    <definedName name="Obosn" localSheetId="4">'Акт &amp; граф УЕР'!#REF!</definedName>
    <definedName name="Obosn" localSheetId="0">'КС-2 (16 граф ТЕР_ФЕР)'!$C$17</definedName>
    <definedName name="pos_zak_20" localSheetId="2">#REF!</definedName>
    <definedName name="pos_zak_20" localSheetId="3">#REF!</definedName>
    <definedName name="pos_zak_20" localSheetId="1">#REF!</definedName>
    <definedName name="pos_zak_20">#REF!</definedName>
    <definedName name="pos_zak_21" localSheetId="2">#REF!</definedName>
    <definedName name="pos_zak_21" localSheetId="3">#REF!</definedName>
    <definedName name="pos_zak_21" localSheetId="1">#REF!</definedName>
    <definedName name="pos_zak_21">#REF!</definedName>
    <definedName name="pos_zak_22" localSheetId="2">#REF!</definedName>
    <definedName name="pos_zak_22" localSheetId="3">#REF!</definedName>
    <definedName name="pos_zak_22" localSheetId="1">#REF!</definedName>
    <definedName name="pos_zak_22">#REF!</definedName>
    <definedName name="pos_zak_23" localSheetId="1">#REF!</definedName>
    <definedName name="pos_zak_23">#REF!</definedName>
    <definedName name="pos_zak_24" localSheetId="1">#REF!</definedName>
    <definedName name="pos_zak_24">#REF!</definedName>
    <definedName name="pos_zak_25" localSheetId="1">#REF!</definedName>
    <definedName name="pos_zak_25">#REF!</definedName>
    <definedName name="pos_zak_3" localSheetId="1">#REF!</definedName>
    <definedName name="pos_zak_3">#REF!</definedName>
    <definedName name="pos_zak_4" localSheetId="1">#REF!</definedName>
    <definedName name="pos_zak_4">#REF!</definedName>
    <definedName name="pos_zak_percent" localSheetId="1">#REF!</definedName>
    <definedName name="pos_zak_percent">#REF!</definedName>
    <definedName name="pos_zak_percent2" localSheetId="1">#REF!</definedName>
    <definedName name="pos_zak_percent2">#REF!</definedName>
    <definedName name="pos_zak_totals" localSheetId="1">#REF!</definedName>
    <definedName name="pos_zak_totals">#REF!</definedName>
    <definedName name="Print_Titles" localSheetId="4">'Акт &amp; граф УЕР'!$27:$27</definedName>
    <definedName name="Print_Titles" localSheetId="0">'КС-2 (16 граф ТЕР_ФЕР)'!$36:$36</definedName>
    <definedName name="PrintArea" localSheetId="3">[3]НЗ_Параметры!$A$1:$F$18</definedName>
    <definedName name="PrintArea" localSheetId="1">[3]НЗ_Параметры!$A$1:$F$18</definedName>
    <definedName name="PrintArea">[3]НЗ_Параметры!$A$1:$F$18</definedName>
    <definedName name="ReturnImp" localSheetId="4">'Акт &amp; граф УЕР'!$L$12</definedName>
    <definedName name="ReturnImp" localSheetId="0">'КС-2 (16 граф ТЕР_ФЕР)'!$J$13</definedName>
    <definedName name="signature" localSheetId="2">#REF!</definedName>
    <definedName name="signature" localSheetId="3">#REF!</definedName>
    <definedName name="signature" localSheetId="1">#REF!</definedName>
    <definedName name="signature">#REF!</definedName>
    <definedName name="SmPrImp" localSheetId="4">'Акт &amp; граф УЕР'!$L$9</definedName>
    <definedName name="SmPrImp" localSheetId="0">'КС-2 (16 граф ТЕР_ФЕР)'!$J$10</definedName>
    <definedName name="xczxcxz" localSheetId="2" hidden="1">#REF!</definedName>
    <definedName name="xczxcxz" localSheetId="3" hidden="1">#REF!</definedName>
    <definedName name="xczxcxz" localSheetId="1" hidden="1">#REF!</definedName>
    <definedName name="xczxcxz" hidden="1">#REF!</definedName>
    <definedName name="Zakaz" localSheetId="4">'Акт &amp; граф УЕР'!#REF!</definedName>
    <definedName name="Zakaz" localSheetId="0">'КС-2 (16 граф ТЕР_ФЕР)'!$C$6</definedName>
    <definedName name="ZatrTrImp" localSheetId="4">'Акт &amp; граф УЕР'!$L$13</definedName>
    <definedName name="ZatrTrImp" localSheetId="0">'КС-2 (16 граф ТЕР_ФЕР)'!$J$14</definedName>
    <definedName name="аа" localSheetId="1" hidden="1">#REF!</definedName>
    <definedName name="аа" hidden="1">#REF!</definedName>
    <definedName name="аааа" localSheetId="1" hidden="1">#REF!</definedName>
    <definedName name="аааа" hidden="1">#REF!</definedName>
    <definedName name="аааааааааааа" localSheetId="1" hidden="1">#REF!</definedName>
    <definedName name="аааааааааааа" hidden="1">#REF!</definedName>
    <definedName name="аааааааааааааа" localSheetId="1" hidden="1">#REF!</definedName>
    <definedName name="аааааааааааааа" hidden="1">#REF!</definedName>
    <definedName name="апаврапрапор" localSheetId="1" hidden="1">#REF!</definedName>
    <definedName name="апаврапрапор" hidden="1">#REF!</definedName>
    <definedName name="ваваав" localSheetId="1" hidden="1">#REF!</definedName>
    <definedName name="ваваав" hidden="1">#REF!</definedName>
    <definedName name="вапывафпварпр" localSheetId="1" hidden="1">#REF!</definedName>
    <definedName name="вапывафпварпр" hidden="1">#REF!</definedName>
    <definedName name="ввв" localSheetId="1" hidden="1">#REF!</definedName>
    <definedName name="ввв" hidden="1">#REF!</definedName>
    <definedName name="ввввввввв" localSheetId="1" hidden="1">#REF!</definedName>
    <definedName name="ввввввввв" hidden="1">#REF!</definedName>
    <definedName name="_xlnm.Print_Titles" localSheetId="4">'Акт &amp; граф УЕР'!$27:$27</definedName>
    <definedName name="_xlnm.Print_Titles" localSheetId="0">'КС-2 (16 граф ТЕР_ФЕР)'!$36:$36</definedName>
    <definedName name="инфляция_2021" localSheetId="2">#REF!</definedName>
    <definedName name="инфляция_2021" localSheetId="3">#REF!</definedName>
    <definedName name="инфляция_2021" localSheetId="1">#REF!</definedName>
    <definedName name="инфляция_2021">#REF!</definedName>
    <definedName name="инфляция_2022" localSheetId="2">#REF!</definedName>
    <definedName name="инфляция_2022" localSheetId="3">#REF!</definedName>
    <definedName name="инфляция_2022" localSheetId="1">#REF!</definedName>
    <definedName name="инфляция_2022">#REF!</definedName>
    <definedName name="инфляция_2023" localSheetId="2">#REF!</definedName>
    <definedName name="инфляция_2023" localSheetId="3">#REF!</definedName>
    <definedName name="инфляция_2023" localSheetId="1">#REF!</definedName>
    <definedName name="инфляция_2023">#REF!</definedName>
    <definedName name="НЗ_подписи" localSheetId="1" hidden="1">#REF!</definedName>
    <definedName name="НЗ_подписи" hidden="1">#REF!</definedName>
    <definedName name="ооооооооооо" localSheetId="1" hidden="1">#REF!</definedName>
    <definedName name="ооооооооооо" hidden="1">#REF!</definedName>
    <definedName name="оооооооооооо" localSheetId="1" hidden="1">#REF!</definedName>
    <definedName name="оооооооооооо" hidden="1">#REF!</definedName>
    <definedName name="ссссс" localSheetId="1" hidden="1">#REF!</definedName>
    <definedName name="ссссс" hidden="1">#REF!</definedName>
    <definedName name="ууууууу" localSheetId="1" hidden="1">#REF!</definedName>
    <definedName name="ууууууу" hidden="1">#REF!</definedName>
  </definedNames>
  <calcPr calcId="162913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7" l="1"/>
  <c r="F32" i="7" l="1"/>
  <c r="F54" i="7" s="1"/>
  <c r="F40" i="7" l="1"/>
  <c r="E40" i="7"/>
  <c r="E32" i="7" l="1"/>
  <c r="D32" i="7" l="1"/>
  <c r="F55" i="7" l="1"/>
  <c r="F56" i="7" s="1"/>
  <c r="U31" i="4" l="1"/>
  <c r="T31" i="4"/>
  <c r="S31" i="4"/>
  <c r="I68" i="4" l="1"/>
  <c r="I61" i="4"/>
  <c r="I52" i="4"/>
  <c r="I45" i="4"/>
  <c r="I38" i="4"/>
  <c r="I31" i="4"/>
  <c r="U61" i="4"/>
  <c r="T61" i="4"/>
  <c r="T52" i="4"/>
  <c r="T45" i="4"/>
  <c r="T38" i="4"/>
  <c r="H60" i="4"/>
  <c r="V61" i="4"/>
  <c r="W61" i="4"/>
  <c r="X61" i="4"/>
  <c r="Y61" i="4"/>
  <c r="Z61" i="4"/>
  <c r="S61" i="4"/>
  <c r="U52" i="4"/>
  <c r="V52" i="4"/>
  <c r="W52" i="4"/>
  <c r="X52" i="4"/>
  <c r="Y52" i="4"/>
  <c r="Z52" i="4"/>
  <c r="S52" i="4"/>
  <c r="U45" i="4"/>
  <c r="V45" i="4"/>
  <c r="W45" i="4"/>
  <c r="X45" i="4"/>
  <c r="Y45" i="4"/>
  <c r="Z45" i="4"/>
  <c r="S45" i="4"/>
  <c r="U38" i="4"/>
  <c r="V38" i="4"/>
  <c r="W38" i="4"/>
  <c r="X38" i="4"/>
  <c r="Y38" i="4"/>
  <c r="Z38" i="4"/>
  <c r="S38" i="4"/>
  <c r="H67" i="4"/>
  <c r="G71" i="4"/>
  <c r="G72" i="4" s="1"/>
  <c r="G73" i="4" s="1"/>
  <c r="H69" i="4"/>
  <c r="Z68" i="4"/>
  <c r="Y68" i="4"/>
  <c r="X68" i="4"/>
  <c r="W68" i="4"/>
  <c r="V68" i="4"/>
  <c r="U68" i="4"/>
  <c r="AA68" i="4" s="1"/>
  <c r="T68" i="4"/>
  <c r="S68" i="4"/>
  <c r="G64" i="4"/>
  <c r="G65" i="4" s="1"/>
  <c r="G66" i="4" s="1"/>
  <c r="H62" i="4"/>
  <c r="G55" i="4"/>
  <c r="G56" i="4" s="1"/>
  <c r="G57" i="4" s="1"/>
  <c r="H53" i="4"/>
  <c r="G48" i="4"/>
  <c r="G49" i="4" s="1"/>
  <c r="G50" i="4" s="1"/>
  <c r="H46" i="4"/>
  <c r="G41" i="4"/>
  <c r="G42" i="4" s="1"/>
  <c r="G43" i="4" s="1"/>
  <c r="H39" i="4"/>
  <c r="X31" i="4"/>
  <c r="H32" i="4"/>
  <c r="V31" i="4"/>
  <c r="W31" i="4"/>
  <c r="Y31" i="4"/>
  <c r="Z31" i="4"/>
  <c r="D38" i="4"/>
  <c r="D39" i="4" s="1"/>
  <c r="D40" i="4" s="1"/>
  <c r="D41" i="4" s="1"/>
  <c r="D42" i="4" s="1"/>
  <c r="D43" i="4" s="1"/>
  <c r="D31" i="4"/>
  <c r="D32" i="4" s="1"/>
  <c r="D33" i="4" s="1"/>
  <c r="D34" i="4" s="1"/>
  <c r="D35" i="4" s="1"/>
  <c r="D36" i="4" s="1"/>
  <c r="G34" i="4"/>
  <c r="G35" i="4" s="1"/>
  <c r="G36" i="4" s="1"/>
  <c r="I44" i="4" l="1"/>
  <c r="R68" i="4"/>
  <c r="I60" i="4"/>
  <c r="I32" i="4"/>
  <c r="I30" i="4" s="1"/>
  <c r="R30" i="4" s="1"/>
  <c r="I46" i="4"/>
  <c r="R31" i="4"/>
  <c r="R32" i="4" s="1"/>
  <c r="R45" i="4"/>
  <c r="R46" i="4" s="1"/>
  <c r="R38" i="4"/>
  <c r="R39" i="4" s="1"/>
  <c r="R52" i="4"/>
  <c r="R53" i="4" s="1"/>
  <c r="R61" i="4"/>
  <c r="R62" i="4" s="1"/>
  <c r="I69" i="4"/>
  <c r="I67" i="4" s="1"/>
  <c r="R67" i="4" s="1"/>
  <c r="R69" i="4"/>
  <c r="I39" i="4"/>
  <c r="I37" i="4" s="1"/>
  <c r="R37" i="4" s="1"/>
  <c r="I62" i="4"/>
  <c r="I53" i="4"/>
  <c r="I51" i="4" s="1"/>
  <c r="R51" i="4" l="1"/>
  <c r="R60" i="4"/>
  <c r="R44" i="4"/>
  <c r="R74" i="4"/>
  <c r="R58" i="4" l="1"/>
  <c r="R75" i="4" s="1"/>
</calcChain>
</file>

<file path=xl/sharedStrings.xml><?xml version="1.0" encoding="utf-8"?>
<sst xmlns="http://schemas.openxmlformats.org/spreadsheetml/2006/main" count="556" uniqueCount="341">
  <si>
    <t xml:space="preserve">Инвестор - </t>
  </si>
  <si>
    <t>Наименование</t>
  </si>
  <si>
    <t>Ед. изм.</t>
  </si>
  <si>
    <t>Кол.</t>
  </si>
  <si>
    <t>Всего</t>
  </si>
  <si>
    <t>В том числе</t>
  </si>
  <si>
    <t>Осн.З/п</t>
  </si>
  <si>
    <t>З/пМех.</t>
  </si>
  <si>
    <t>Эк.Маш.</t>
  </si>
  <si>
    <t>Унифицированная форма № КС-2</t>
  </si>
  <si>
    <t>Утверждена постановлением Госкомстата России</t>
  </si>
  <si>
    <t>от 11 ноября 1999 года №100</t>
  </si>
  <si>
    <t>Код</t>
  </si>
  <si>
    <t>Форма по ОКУД</t>
  </si>
  <si>
    <t>по ОКПО</t>
  </si>
  <si>
    <t>Вид деятельности по ОКДП</t>
  </si>
  <si>
    <t>номер</t>
  </si>
  <si>
    <t>дата</t>
  </si>
  <si>
    <t>Договор подряда (контракт)</t>
  </si>
  <si>
    <t>Вид операции</t>
  </si>
  <si>
    <t>Отчетный период</t>
  </si>
  <si>
    <t>с</t>
  </si>
  <si>
    <t>по</t>
  </si>
  <si>
    <t>АКТ</t>
  </si>
  <si>
    <t>Дата составления</t>
  </si>
  <si>
    <t>Номер документа</t>
  </si>
  <si>
    <t xml:space="preserve">Сметная (договорная) стоимость в соответствии с договором подряда (субподряда): </t>
  </si>
  <si>
    <t>Стоимость единицы, руб.</t>
  </si>
  <si>
    <t>Общая стоимость, руб.</t>
  </si>
  <si>
    <t>Т/з осн.раб. (на ед./ всего)</t>
  </si>
  <si>
    <t>Т/з мех. (на ед./ всего)</t>
  </si>
  <si>
    <t xml:space="preserve"> </t>
  </si>
  <si>
    <t>0322005</t>
  </si>
  <si>
    <t>Обосно-
вание</t>
  </si>
  <si>
    <t>Номер</t>
  </si>
  <si>
    <t>по порядку</t>
  </si>
  <si>
    <t>поз. по смете</t>
  </si>
  <si>
    <t>Стройка - Исследовательский центр «Геосфера» по адресу: г.Тюмень, Восточный АО, пересечение улиц Монтажников и Федюнинского</t>
  </si>
  <si>
    <t>29.10.2024</t>
  </si>
  <si>
    <t>01.10.2024</t>
  </si>
  <si>
    <t>31.10.2024</t>
  </si>
  <si>
    <t>О ПРИЕМКЕ ВЫПОЛНЕННЫХ РАБОТ за октябрь 2024г. г.</t>
  </si>
  <si>
    <t>Смета №02-05-01 изм.2, Система внутреннего водоснабжения</t>
  </si>
  <si>
    <t>Основание - ТЕНР.26.30.23.000.003-Р-ВК1.СО изм.3</t>
  </si>
  <si>
    <t>___________________________932,385</t>
  </si>
  <si>
    <t>тыс. руб.</t>
  </si>
  <si>
    <t>Средства на оплату труда _______________________________________________________________________________________________</t>
  </si>
  <si>
    <t>_______________________________________________________________________________________________46,847</t>
  </si>
  <si>
    <t>Сметная трудоемкость _______________________________________________________________________________________________</t>
  </si>
  <si>
    <t>_______________________________________________________________________________________________111,93</t>
  </si>
  <si>
    <t>чел.час</t>
  </si>
  <si>
    <t>Раздел 1. Системы внутреннего водоснабжения В0</t>
  </si>
  <si>
    <t>Помещение водомерного узла</t>
  </si>
  <si>
    <t>1</t>
  </si>
  <si>
    <t>шт</t>
  </si>
  <si>
    <r>
      <t>Установка вентилей, задвижек, затворов, клапанов обратных, кранов проходных на трубопроводах из стальных труб диаметром: до 200 мм</t>
    </r>
    <r>
      <rPr>
        <i/>
        <sz val="6"/>
        <rFont val="Arial"/>
        <family val="2"/>
        <charset val="204"/>
      </rPr>
      <t xml:space="preserve">
ИНДЕКС К ПОЗИЦИИ:
1 Индекс изменения сметной стоимости ОЗП=45; ЭМ=9,5; ЗПМ=45; МАТ=9,9
НР (59964 руб.): 128% от ФОТ (46847 руб.)
СП (38883 руб.): 83% от ФОТ (46847 руб.)</t>
    </r>
  </si>
  <si>
    <r>
      <t>ФЕР16-05-001-06</t>
    </r>
    <r>
      <rPr>
        <i/>
        <sz val="6"/>
        <rFont val="Arial"/>
        <family val="2"/>
        <charset val="204"/>
      </rPr>
      <t xml:space="preserve">
Приказ Минстроя России от 30.12.2016 №1039/пр</t>
    </r>
  </si>
  <si>
    <r>
      <t>13</t>
    </r>
    <r>
      <rPr>
        <i/>
        <sz val="6"/>
        <rFont val="Arial"/>
        <family val="2"/>
        <charset val="204"/>
      </rPr>
      <t xml:space="preserve">
5+2+6</t>
    </r>
  </si>
  <si>
    <t>8,61
111,93</t>
  </si>
  <si>
    <t>0,16
2,08</t>
  </si>
  <si>
    <t>304</t>
  </si>
  <si>
    <t>1000 шт</t>
  </si>
  <si>
    <r>
      <t>Прокладки из паронита ПМБ, толщина 1 мм, диаметр 200 мм</t>
    </r>
    <r>
      <rPr>
        <i/>
        <sz val="6"/>
        <rFont val="Arial"/>
        <family val="2"/>
        <charset val="204"/>
      </rPr>
      <t xml:space="preserve">
ИНДЕКС К ПОЗИЦИИ:
1 Индекс изменения сметной стоимости ОЗП=45; ЭМ=9,5; ЗПМ=45; МАТ=9,9</t>
    </r>
  </si>
  <si>
    <r>
      <t>ФССЦ-01.1.02.08-0004</t>
    </r>
    <r>
      <rPr>
        <i/>
        <sz val="6"/>
        <rFont val="Arial"/>
        <family val="2"/>
        <charset val="204"/>
      </rPr>
      <t xml:space="preserve">
Приказ Минстроя России от 26.12.2019 №876/пр</t>
    </r>
  </si>
  <si>
    <t xml:space="preserve">
</t>
  </si>
  <si>
    <t>305</t>
  </si>
  <si>
    <t>т</t>
  </si>
  <si>
    <r>
      <t>Болты с гайками и шайбами для санитарно-технических работ, диаметр 20-22 мм</t>
    </r>
    <r>
      <rPr>
        <i/>
        <sz val="6"/>
        <rFont val="Arial"/>
        <family val="2"/>
        <charset val="204"/>
      </rPr>
      <t xml:space="preserve">
ИНДЕКС К ПОЗИЦИИ:
1 Индекс изменения сметной стоимости ОЗП=45; ЭМ=9,5; ЗПМ=45; МАТ=9,9</t>
    </r>
  </si>
  <si>
    <r>
      <t>ФССЦ-01.7.15.03-0015</t>
    </r>
    <r>
      <rPr>
        <i/>
        <sz val="6"/>
        <rFont val="Arial"/>
        <family val="2"/>
        <charset val="204"/>
      </rPr>
      <t xml:space="preserve">
Приказ Минстроя России от 26.12.2019 №876/пр</t>
    </r>
  </si>
  <si>
    <r>
      <t>-0,066</t>
    </r>
    <r>
      <rPr>
        <i/>
        <sz val="6"/>
        <rFont val="Arial"/>
        <family val="2"/>
        <charset val="204"/>
      </rPr>
      <t xml:space="preserve">
-0,06552</t>
    </r>
  </si>
  <si>
    <t>3</t>
  </si>
  <si>
    <t>Ведомость МТР 1000047538 от 18.12.2023 г. ( Код МТР 770001651322)</t>
  </si>
  <si>
    <t>к-т</t>
  </si>
  <si>
    <r>
      <t>Комплект ответных фланцев КОФ Ду200 /Комплект фланцев в составе: фланец 200-16-01-A-Ст 20-IV ГОСТ 33259-2015 - 2 шт, в комплекте: прокладка А-200-16 ПОН ГОСТ 15180-86 - 2 шт, болт М20-6gх90.86 (S30) ГОСТ 7798-70 - 24 шт, гайка М20-6Н.5 (S30) ГОСТ 9064-75 - 24 шт</t>
    </r>
    <r>
      <rPr>
        <i/>
        <sz val="6"/>
        <rFont val="Arial"/>
        <family val="2"/>
        <charset val="204"/>
      </rPr>
      <t xml:space="preserve">
МАТ=17250/1,02/9,9
ИНДЕКС К ПОЗИЦИИ:
1 Индекс изменения сметной стоимости ОЗП=45; ЭМ=9,5; ЗПМ=45; МАТ=9,9</t>
    </r>
  </si>
  <si>
    <t>2</t>
  </si>
  <si>
    <t>Ведомость МТР 1000044094 от 10.07.2023 г. ( Код МТР 770001557103)</t>
  </si>
  <si>
    <t>шт.</t>
  </si>
  <si>
    <r>
      <t>Задвижка с обрезиненным клином и маховиком, Ду200 Вариант 50/60-003</t>
    </r>
    <r>
      <rPr>
        <i/>
        <sz val="6"/>
        <rFont val="Arial"/>
        <family val="2"/>
        <charset val="204"/>
      </rPr>
      <t xml:space="preserve">
МАТ=33232,95/1,02/9,9
ИНДЕКС К ПОЗИЦИИ:
1 Индекс изменения сметной стоимости ОЗП=45; ЭМ=9,5; ЗПМ=45; МАТ=9,9</t>
    </r>
  </si>
  <si>
    <t>4</t>
  </si>
  <si>
    <t>Ведомость МТР 1000044094 от 10.07.2023 г. ( Код МТР 770001557129)</t>
  </si>
  <si>
    <r>
      <t>Клапан обратный Danfoss NVD 402 DN200</t>
    </r>
    <r>
      <rPr>
        <i/>
        <sz val="6"/>
        <rFont val="Arial"/>
        <family val="2"/>
        <charset val="204"/>
      </rPr>
      <t xml:space="preserve">
МАТ=65722,83/1,02/9,9
ИНДЕКС К ПОЗИЦИИ:
1 Индекс изменения сметной стоимости ОЗП=45; ЭМ=9,5; ЗПМ=45; МАТ=9,9</t>
    </r>
  </si>
  <si>
    <t>Итого прямые затраты по акту в текущих ценах</t>
  </si>
  <si>
    <t>Накладные расходы</t>
  </si>
  <si>
    <t>Сметная прибыль</t>
  </si>
  <si>
    <t>Итоги по акту:</t>
  </si>
  <si>
    <t xml:space="preserve"> 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</si>
  <si>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 xml:space="preserve">  Материалы</t>
  </si>
  <si>
    <t xml:space="preserve">  Итого</t>
  </si>
  <si>
    <t xml:space="preserve">    В том числе:</t>
  </si>
  <si>
    <t xml:space="preserve">      Материалы</t>
  </si>
  <si>
    <t xml:space="preserve">      Машины и механизмы</t>
  </si>
  <si>
    <t xml:space="preserve">      ФОТ</t>
  </si>
  <si>
    <t xml:space="preserve">      Накладные расходы</t>
  </si>
  <si>
    <t xml:space="preserve">      Сметная прибыль</t>
  </si>
  <si>
    <t xml:space="preserve">  ВСЕГО по акту</t>
  </si>
  <si>
    <t>Заказчик (Генподрядчик) - ООО "Ромашка"</t>
  </si>
  <si>
    <t>Подрядчик (Субподрядчик) - ООО "Гиацинт"</t>
  </si>
  <si>
    <t>Объект - Исследовательский центр «Геосфера»</t>
  </si>
  <si>
    <t>ФХД-24-000786-243/Р</t>
  </si>
  <si>
    <t>Номер единичной расценки (ФЕР)</t>
  </si>
  <si>
    <t xml:space="preserve"> 1.3</t>
  </si>
  <si>
    <t>1.3.1</t>
  </si>
  <si>
    <t>1.3.4</t>
  </si>
  <si>
    <t>Коэффициент инфляции 2021</t>
  </si>
  <si>
    <t>Коэффициент инфляции 2022</t>
  </si>
  <si>
    <t>Коэффициент инфляции 2023</t>
  </si>
  <si>
    <t>Коэффициент инфляции 2024</t>
  </si>
  <si>
    <t>Норма лимитированных и прочих затрат, учтенных в УЕР</t>
  </si>
  <si>
    <t>УЕР 01-001-01</t>
  </si>
  <si>
    <t>Разработка грунта в отвал экскаваторами с ковшом вместимостью 0,65 [0,5-1] м3
группа грунта: 1</t>
  </si>
  <si>
    <t>ФЕР01-01-003-07</t>
  </si>
  <si>
    <t>1000м3</t>
  </si>
  <si>
    <t>1.3.5</t>
  </si>
  <si>
    <t>1.3.6</t>
  </si>
  <si>
    <t>с учетом индексов изменения сметной стоимости, в наименовании работ информация справочная</t>
  </si>
  <si>
    <t>СП</t>
  </si>
  <si>
    <t>НР</t>
  </si>
  <si>
    <t>Итого прямые затраты по разделу 1 в текущих ценах</t>
  </si>
  <si>
    <t>Итого прямые затраты по разделу 2 в текущих ценах</t>
  </si>
  <si>
    <t>как сейчас в РИМе реализован функционал применения коэффициентов инфляциии?
Предлагаю формулу: если в дате составления документа указан 2021 год, то к цене за единицу УЕР применять коэффициент инфляции 2021, если 2024 - инфляции 2024 и т.д.
Но как быть в ситуации когда в КС-2 отчетный период "с" будет указан например 2022 год, а "по" 2023... как привязывать индекс инфляции</t>
  </si>
  <si>
    <t>1.3.2</t>
  </si>
  <si>
    <t>1.3.3</t>
  </si>
  <si>
    <t xml:space="preserve"> 1.4</t>
  </si>
  <si>
    <t>Разработка грунта в отвал экскаваторами с ковшом вместимостью 0,65 [0,5-1] м3
группа грунта: 2</t>
  </si>
  <si>
    <t>УЕР 01-001-02</t>
  </si>
  <si>
    <t>ФЕР01-01-003-08</t>
  </si>
  <si>
    <t>МТР</t>
  </si>
  <si>
    <t>Перевозка</t>
  </si>
  <si>
    <t>формула</t>
  </si>
  <si>
    <t>расчетное</t>
  </si>
  <si>
    <t>Оборуд.</t>
  </si>
  <si>
    <t>1.4.1</t>
  </si>
  <si>
    <t>1.4.2</t>
  </si>
  <si>
    <t>1.4.3</t>
  </si>
  <si>
    <t>1.4.4</t>
  </si>
  <si>
    <t>1.4.5</t>
  </si>
  <si>
    <t>1.4.6</t>
  </si>
  <si>
    <t xml:space="preserve"> 1.5</t>
  </si>
  <si>
    <t>Разработка грунта в отвал экскаваторами с ковшом вместимостью 0,65 [0,5-1] м3
группа грунта: 3</t>
  </si>
  <si>
    <t>УЕР 01-001-03</t>
  </si>
  <si>
    <t>1.5.1</t>
  </si>
  <si>
    <t>1.5.2</t>
  </si>
  <si>
    <t>1.5.3</t>
  </si>
  <si>
    <t>1.5.4</t>
  </si>
  <si>
    <t>1.5.5</t>
  </si>
  <si>
    <t>1.5.6</t>
  </si>
  <si>
    <t>Разработка грунта в отвал экскаваторами с ковшом вместимостью 0,65 [0,5-1] м3 группа грунта: 2
ИНДЕКС К ПОЗИЦИИ: 1 Индекс изменения сметной стоимости ОЗП=50,29; ЭМ=11,52; ЗПМ=50,29; МАТ=9,9
НР (494730,89 руб.): 95% от ФОТ (520135,99 руб.)
СП (260736,55 руб.): 50% от ФОТ (520135,99 руб.)</t>
  </si>
  <si>
    <t>Разработка грунта в отвал экскаваторами с ковшом вместимостью 0,65 [0,5-1] м3 группа грунта: 1
ИНДЕКС К ПОЗИЦИИ: 1 Индекс изменения сметной стоимости ОЗП=50,29; ЭМ=11,52; ЗПМ=50,29; МАТ=9,9
НР (393110,49 руб.): 95% от ФОТ (413167,15 руб.)
СП (207252,13 руб.): 50% от ФОТ (413167,15 руб.)</t>
  </si>
  <si>
    <t>УЕР 01-001-05</t>
  </si>
  <si>
    <t>ФЕР01-01-003-09</t>
  </si>
  <si>
    <t>Разработка грунта в отвал экскаваторами с ковшом вместимостью 0,65 [0,5-1] м3 группа грунта: 3
ИНДЕКС К ПОЗИЦИИ: 1 Индекс изменения сметной стоимости ОЗП=50,29; ЭМ=11,52; ЗПМ=50,29; МАТ=9,9
НР (625767,72 руб.): 95% от ФОТ (659195,48 руб.)
СП (330266,30 руб.): 50% от ФОТ (659195,48 руб.)</t>
  </si>
  <si>
    <t>УЕР 01-001-04</t>
  </si>
  <si>
    <t>Разработка грунта в отвал экскаваторами с ковшом вместимостью 0,65 [0,5-1] м3
группа грунта: 6</t>
  </si>
  <si>
    <t xml:space="preserve"> 1.6</t>
  </si>
  <si>
    <t>1.6.1</t>
  </si>
  <si>
    <t>1.6.2</t>
  </si>
  <si>
    <t>1.6.3</t>
  </si>
  <si>
    <t>1.6.4</t>
  </si>
  <si>
    <t>1.6.5</t>
  </si>
  <si>
    <t>1.6.6</t>
  </si>
  <si>
    <t>ФЕР01-01-003-12</t>
  </si>
  <si>
    <t>Разработка грунта в отвал экскаваторами с ковшом вместимостью 0,65 [0,5-1] м3 группа грунта: 6
ИНДЕКС К ПОЗИЦИИ: 1 Индекс изменения сметной стоимости ОЗП=50,29; ЭМ=11,52; ЗПМ=50,29; МАТ=9,9
НР (1389257,83 руб.): 95% от ФОТ (1462798,91 руб.)
СП (731399,45 руб.): 50% от ФОТ (1462798,91 руб.)</t>
  </si>
  <si>
    <t>УЕР 01-001-06</t>
  </si>
  <si>
    <t>ФЕР01-01-003-10</t>
  </si>
  <si>
    <t>Разработка грунта в отвал экскаваторами с ковшом вместимостью 0,65 [0,5-1] м3
группа грунта: 4</t>
  </si>
  <si>
    <t>УЕР 04-004-21</t>
  </si>
  <si>
    <t>ФЕР06-01-001-01</t>
  </si>
  <si>
    <t>Устройство бетонной подготовки (без стоимости ЦО материалов, без затрат по приготовлению бетона)</t>
  </si>
  <si>
    <t>100 м3</t>
  </si>
  <si>
    <t>1000 м3</t>
  </si>
  <si>
    <t>(1250*21,27)/1000</t>
  </si>
  <si>
    <t>Раздел 2. Системы наружнего водоснабжения 123</t>
  </si>
  <si>
    <t>(15*15*0,5)/100</t>
  </si>
  <si>
    <t>(150*250)/1000</t>
  </si>
  <si>
    <t>Разработка грунта в отвал экскаваторами с ковшом вместимостью 0,65 [0,5-1] м3 группа грунта: 4
ИНДЕКС К ПОЗИЦИИ: 1 Индекс изменения сметной стоимости ОЗП=50,29; ЭМ=11,52; ЗПМ=50,29; МАТ=9,9
НР (1150383,75 руб.): 95% от ФОТ (1210731,75 руб.)
СП (605365,88 руб.): 50% от ФОТ (1210731,75 руб.)</t>
  </si>
  <si>
    <t xml:space="preserve"> 1.17</t>
  </si>
  <si>
    <t>1.17.1</t>
  </si>
  <si>
    <t>1.17.2</t>
  </si>
  <si>
    <t>1.17.3</t>
  </si>
  <si>
    <t>1.17.4</t>
  </si>
  <si>
    <t>1.17.5</t>
  </si>
  <si>
    <t>1.17.6</t>
  </si>
  <si>
    <t xml:space="preserve"> 1.120</t>
  </si>
  <si>
    <t>1.120.1</t>
  </si>
  <si>
    <t>1.120.2</t>
  </si>
  <si>
    <t>1.120.3</t>
  </si>
  <si>
    <t>1.120.4</t>
  </si>
  <si>
    <t>1.120.5</t>
  </si>
  <si>
    <t>1.120.6</t>
  </si>
  <si>
    <t>Устройство бетонной подготовки 
ИНДЕКС К ПОЗИЦИИ: 1 Индекс изменения сметной стоимости ОЗП=50,29; ЭМ=11,52; ЗПМ=50,29; МАТ=9,9
НР (2314538,31 руб.): 105% от ФОТ (2204895,25 руб.)
СП (1433382,48 руб.): 65% от ФОТ (2204895,25 руб.)</t>
  </si>
  <si>
    <t>Приложение 1</t>
  </si>
  <si>
    <t>ХХ-ХХ-ХХХХ-ХХХ/Р</t>
  </si>
  <si>
    <t>Объект - Исследовательский центр «Звезда»</t>
  </si>
  <si>
    <t>Стройка - Исследовательский центр «Звезда» по адресу: ХХХХ</t>
  </si>
  <si>
    <t>31.03.2021</t>
  </si>
  <si>
    <t>01.03.2021</t>
  </si>
  <si>
    <t>01.10.2020</t>
  </si>
  <si>
    <t>СПП элемент</t>
  </si>
  <si>
    <t>Наряд-заказ</t>
  </si>
  <si>
    <t>Затраты на временные здания и сооружения</t>
  </si>
  <si>
    <t>Зимнее удорожание</t>
  </si>
  <si>
    <t>Снегоборьба</t>
  </si>
  <si>
    <t>Затраты на борьбу с гнусом</t>
  </si>
  <si>
    <t xml:space="preserve">Северная надбавка </t>
  </si>
  <si>
    <t>Факторинг</t>
  </si>
  <si>
    <t xml:space="preserve">Непредвиденные затраты </t>
  </si>
  <si>
    <t>Коэффициент инфляции / дефлятор</t>
  </si>
  <si>
    <t>-</t>
  </si>
  <si>
    <t>Инвестор</t>
  </si>
  <si>
    <r>
      <t>организация, адрес,</t>
    </r>
    <r>
      <rPr>
        <sz val="9"/>
        <rFont val="Arial"/>
        <family val="2"/>
        <charset val="204"/>
      </rPr>
      <t xml:space="preserve"> телефон, </t>
    </r>
    <r>
      <rPr>
        <i/>
        <sz val="9"/>
        <rFont val="Arial"/>
        <family val="2"/>
        <charset val="204"/>
      </rPr>
      <t>факс</t>
    </r>
  </si>
  <si>
    <t>наименование, адрес</t>
  </si>
  <si>
    <t>ХХХ-ХХ-ХХХХ-ХХХ/Р</t>
  </si>
  <si>
    <t>СПРАВКА</t>
  </si>
  <si>
    <t>О СТОИМОСТИ ВЫПОЛНЕННЫХ РАБОТ И ЗАТРАТ</t>
  </si>
  <si>
    <t>Номер по порядку</t>
  </si>
  <si>
    <t>Наименование пусковых комплексов, этапов, объектов, видов выполненных работ, оборудования, затрат</t>
  </si>
  <si>
    <t>Стоимость выполненных работ и затрат, руб.</t>
  </si>
  <si>
    <t>сначала проведения работ</t>
  </si>
  <si>
    <t>с начала года</t>
  </si>
  <si>
    <t>в том числе за отчетный период</t>
  </si>
  <si>
    <t>Всего работ и затрат, включаемых в стоимость работ в том числе:</t>
  </si>
  <si>
    <t>Строительно-монтажные работы</t>
  </si>
  <si>
    <t>Оборудование</t>
  </si>
  <si>
    <t>Пуско-наладочные работы</t>
  </si>
  <si>
    <t>ПИР</t>
  </si>
  <si>
    <t>Итого</t>
  </si>
  <si>
    <t>Сумма НДС</t>
  </si>
  <si>
    <t>Всего с учетом НДС</t>
  </si>
  <si>
    <t>Заказчик:</t>
  </si>
  <si>
    <t>Генеральный директор</t>
  </si>
  <si>
    <t>И.О. Фамилия</t>
  </si>
  <si>
    <t>наименование должности лица (лиц), совершившего (совершивших) сделку, операцию и ответственного (ответственных) за ее оформление</t>
  </si>
  <si>
    <t>подписи и даты подписания указанных лиц</t>
  </si>
  <si>
    <t>Подрядчик:</t>
  </si>
  <si>
    <t>Стройка</t>
  </si>
  <si>
    <t>Номер документа - сквозная нумерация с первого выполнения</t>
  </si>
  <si>
    <t>Даты указывать в формате ДД.ММ.ГГГГ</t>
  </si>
  <si>
    <t>Информация о дате факта хозяйственной жизни отражается в случае если фактически работы выполнены в один период, а в КС-2 указывается другой период (дата составления)</t>
  </si>
  <si>
    <t>В графе 4 "Наименование" справочно указывать индексы применяемые для пересчета в текущие цены</t>
  </si>
  <si>
    <t xml:space="preserve">В графе 4 "Наименование" указывать указывать понижающий/повышающий коэффициент, применяемык к цене за единицу     </t>
  </si>
  <si>
    <t>В графе 4 "Наименование" информацию отражать в следующем порядке: 
1. Понижающий/повышающий коэффициент ОЗП=1,15; ЭМ=1,25; ЗПМ=1,15; МАТ=0
2. Индекс изменения сметной стоимости ОЗП=45; ЭМ=9,5; ЗПМ=45; МАТ=9,9
3. НР и СП (ПЗ или ФОТ)</t>
  </si>
  <si>
    <t>Стоимость материалов и оборудования поставки Подрядчика закупленных с использованием информационных системы принадлежащих АО "Цифровые Закупочные Сервисы"</t>
  </si>
  <si>
    <t>Стоимость работ в графах 11-14 округлять до целого числа</t>
  </si>
  <si>
    <t>Прочие затраты</t>
  </si>
  <si>
    <t>Временные здания и сооружения отражаются:
- в КС-2 - в случае определения данных затрат по нормам (% от глав 1-7 строительных и монтажных работ) 
- в Сводном расчете - в случае определния расчетным путем с предоставлением подтверждающих документов</t>
  </si>
  <si>
    <t xml:space="preserve">В графе 4 "Наименование" указывать размер НР и СП в рублях и %; от каких затрат рассчитываются НР и СП (ПЗ или ФОТ) и от какой суммы </t>
  </si>
  <si>
    <t xml:space="preserve">Лимитированные и прочие учитываются в КС-2 при условии их расчета в %-ом отношении. Обязательно указывать размер % и от какой суммы рассчитыватся. </t>
  </si>
  <si>
    <t>СМР Объектов обустройства кустов скважин после бурения ХХХ Лицензионного участка, ХХХ Лицензионного участка, Наименование месторождения</t>
  </si>
  <si>
    <t>ООО "Наименование организации"</t>
  </si>
  <si>
    <t>дд.мм.гггг</t>
  </si>
  <si>
    <t>Обязательно при формировании форм КС-2, КС-3, "Сводный расчет прочих затрат" использование единых формулировок в наименованиях объекта, стройки, лимитированых и прочих затрат</t>
  </si>
  <si>
    <t xml:space="preserve">Затраты отсутствующие в Договоре  не показывать в КС-2, КС-3, "Сводный расчет прочих затрат" </t>
  </si>
  <si>
    <t>Рекомендации по заполнению КС-2, КС-3, Сводный расчет</t>
  </si>
  <si>
    <t>Номер документа - сквозная нумерация с первого выполнения до последнего</t>
  </si>
  <si>
    <t>Сумма прочих затрат должна соответствовать итоговой сумме "Сводного расчета прочих затрат"</t>
  </si>
  <si>
    <t>Обязательно при формировании форм КС-2, КС-3, Сводный расчет использование единых формулировок в наименованиях объекта, стройки, лимитированных и прочих затрат</t>
  </si>
  <si>
    <t xml:space="preserve">В графе 4 "Наименование" указывать  понижающий/повышающий коэффициент, применяемый к цене за единицу     </t>
  </si>
  <si>
    <t>СПП элемент, наименование подобъекта</t>
  </si>
  <si>
    <t xml:space="preserve">Код </t>
  </si>
  <si>
    <t>1.1</t>
  </si>
  <si>
    <t>1.2</t>
  </si>
  <si>
    <t>1.3</t>
  </si>
  <si>
    <t>1.4</t>
  </si>
  <si>
    <t>1.5</t>
  </si>
  <si>
    <t>2.1</t>
  </si>
  <si>
    <t>2.2</t>
  </si>
  <si>
    <t>2.3</t>
  </si>
  <si>
    <t>2.4</t>
  </si>
  <si>
    <t>2.5</t>
  </si>
  <si>
    <t>В том числе по СПП элементам:</t>
  </si>
  <si>
    <t>Целевые поля для КС-2</t>
  </si>
  <si>
    <t>Поле</t>
  </si>
  <si>
    <t>Ячейка в excel</t>
  </si>
  <si>
    <t>C13</t>
  </si>
  <si>
    <t xml:space="preserve">Объект </t>
  </si>
  <si>
    <t>C15</t>
  </si>
  <si>
    <t xml:space="preserve">Номер документа </t>
  </si>
  <si>
    <t xml:space="preserve">Дата составления </t>
  </si>
  <si>
    <t xml:space="preserve">Отчетный период с </t>
  </si>
  <si>
    <t xml:space="preserve">Отчетный период по </t>
  </si>
  <si>
    <t xml:space="preserve">Сметная стоимость </t>
  </si>
  <si>
    <t>D32</t>
  </si>
  <si>
    <t>Номер наряд-заказа</t>
  </si>
  <si>
    <t>Дата наряд-заказа</t>
  </si>
  <si>
    <t>Целевые поля для КС-3</t>
  </si>
  <si>
    <t>Отчетный период с</t>
  </si>
  <si>
    <t>Отчетный период по</t>
  </si>
  <si>
    <t>Итого по акту</t>
  </si>
  <si>
    <t>B15</t>
  </si>
  <si>
    <t>O25</t>
  </si>
  <si>
    <t>P25</t>
  </si>
  <si>
    <t>Q25</t>
  </si>
  <si>
    <t>R25</t>
  </si>
  <si>
    <t>P20</t>
  </si>
  <si>
    <t>P21</t>
  </si>
  <si>
    <t>Объект:</t>
  </si>
  <si>
    <t>C24</t>
  </si>
  <si>
    <t>D24</t>
  </si>
  <si>
    <t>E24</t>
  </si>
  <si>
    <t>F24</t>
  </si>
  <si>
    <t>F19</t>
  </si>
  <si>
    <t>F20</t>
  </si>
  <si>
    <t>F32</t>
  </si>
  <si>
    <t xml:space="preserve">Стройка: </t>
  </si>
  <si>
    <t xml:space="preserve">Заказчик (Генподрядчик): </t>
  </si>
  <si>
    <t>Подрядчик (Су6подрядчик):</t>
  </si>
  <si>
    <t xml:space="preserve"> ООО "Наименование организации"</t>
  </si>
  <si>
    <t>В13</t>
  </si>
  <si>
    <t>1.1.1</t>
  </si>
  <si>
    <t>2.1.1</t>
  </si>
  <si>
    <t>Отчетный период отражает даты периода, зафиксированного условиями договора</t>
  </si>
  <si>
    <t>Затраты отсутствующие в Договоре (прочие, ПИР и др.) не показывать в КС-2, КС-3, Сводный расчет</t>
  </si>
  <si>
    <r>
      <t>Позиция по контракту/смете закреплена - соответствует договорному документу</t>
    </r>
    <r>
      <rPr>
        <sz val="10"/>
        <rFont val="Arial Cyr"/>
        <charset val="204"/>
      </rPr>
      <t>. В случае доп.работ согласно АДР или новых позиций МТР оставляется без нумерации</t>
    </r>
  </si>
  <si>
    <t xml:space="preserve">Лимитированные учитываются в КС-2 при условии их расчета в %-ом отношении. Обязательно указывать размер % и от какой суммы рассчитывается. </t>
  </si>
  <si>
    <t>В случае формирования КС-2 по одному СПП-элементу на основании нескольких локальных смет, допускается номер каждой сметы указывать не в строке "Основание", а отдельной стройкой после каждого раздела (один раздел = одна смета)</t>
  </si>
  <si>
    <t>Строка "Локальная смета №ХХХХ (применимо в случае формирование КС-2 на основании нескольких смет)" заполняется опционально</t>
  </si>
  <si>
    <t>B6</t>
  </si>
  <si>
    <t>B7</t>
  </si>
  <si>
    <t>D15</t>
  </si>
  <si>
    <t>E15</t>
  </si>
  <si>
    <t>F15</t>
  </si>
  <si>
    <t>F11</t>
  </si>
  <si>
    <t>F12</t>
  </si>
  <si>
    <t>Статья "Затраты на покупку / аренду лесов" применима только для метода "твердых единичных расценок" и "ЕРС"</t>
  </si>
  <si>
    <t>Наряд-заказ / ДС</t>
  </si>
  <si>
    <t>Временные здания и сооружения отражаются в КС-2 независимо, как в случае определения данных затрат по нормам (% от глав 1-7 строительных и монтажных работ), так и в случае определения расчетным путем с предоставлением подтверждающих документов</t>
  </si>
  <si>
    <t>Статья "Дополнительная транспортировка МТР" включает затраты перевозку МТР свыше расстояния, учтенного в расценке</t>
  </si>
  <si>
    <t xml:space="preserve">В случае использования метода ценообразования "БИМ с единым % прочих затрат" в итогах КС-2 исключаются строки затратами, уже учтенные в Едином проценте прочих затрат  </t>
  </si>
  <si>
    <t>Обязательно удалять номер в строке "Форма по ОКУД"</t>
  </si>
  <si>
    <t xml:space="preserve">Единый процент прочих затрат применяется только при использовании метода ценообразования "БИМ с единым % прочих затрат". При методе ценообразования "БИМ" применение Единого процента прочих затрат НЕ ДОПУСТИМО!  </t>
  </si>
  <si>
    <t>По договорам, в которых отсутствуют затраты, отражаемые в "Сводном расчете прочих затрат", документ "Сводный расчет прочих затрат" не формируется</t>
  </si>
  <si>
    <t>Каждое ДО должно принять решение об использовании одного из способов формирования КС-3:
1 способ: в одной КС-3 отражаются затраты по всем СПП-элементам / элементам справочника
2 способ: формирование КС-3 по каждому СПП-элементу / элементу справочника</t>
  </si>
  <si>
    <t>Построчно стоимость за единицу и общая стоимость отражается в ценах 2001г. В текущие цены стоимость переводится при подведении итогов</t>
  </si>
  <si>
    <r>
      <t>дата факта хозяйственной жизни:</t>
    </r>
    <r>
      <rPr>
        <sz val="8"/>
        <rFont val="Arial"/>
        <family val="2"/>
        <charset val="204"/>
      </rPr>
      <t xml:space="preserve"> [в случае если дата подписания документа Заказчиком не совпадает с датой принятия работ Заказчиком]</t>
    </r>
  </si>
  <si>
    <t xml:space="preserve">Инструкция по заполнению форм по методикам "Базисно-индексный метод", "Базисно-индексный метод с единым % прочих затрат
" </t>
  </si>
  <si>
    <t>Целевые поля для "Сводный расчет прочих затрат"</t>
  </si>
  <si>
    <t>Общие условия:</t>
  </si>
  <si>
    <t>условия для КС-2</t>
  </si>
  <si>
    <t>условия для КС-3</t>
  </si>
  <si>
    <t>условия для "Сводный расчет прочих затрат"</t>
  </si>
  <si>
    <t xml:space="preserve">Статья "Оплата услуг финансовых организаций" включает так же затраты на страхование и банковскую гарантию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</si>
</sst>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0.000"/>
    <numFmt numFmtId="165" formatCode="_-* #,##0.00\ _₽_-;\-* #,##0.00\ _₽_-;_-* &quot;-&quot;??\ _₽_-;_-@_-"/>
    <numFmt numFmtId="166" formatCode="_-* #,##0.0000_-;\-* #,##0.0000_-;_-* &quot;-&quot;??_-;_-@_-"/>
    <numFmt numFmtId="167" formatCode="#,##0.00_ ;\-#,##0.00\ "/>
    <numFmt numFmtId="168" formatCode="0000000"/>
    <numFmt numFmtId="169" formatCode="0.0"/>
  </numFmts>
  <fonts count="4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i/>
      <sz val="6"/>
      <name val="Arial"/>
      <family val="2"/>
      <charset val="204"/>
    </font>
    <font>
      <sz val="10"/>
      <name val="Arial Cyr"/>
      <charset val="204"/>
    </font>
    <font>
      <sz val="9"/>
      <name val="Times New Roman"/>
      <family val="1"/>
    </font>
    <font>
      <i/>
      <sz val="7"/>
      <name val="Times New Roman"/>
      <family val="1"/>
      <charset val="204"/>
    </font>
    <font>
      <sz val="11"/>
      <name val="Calibri"/>
      <family val="2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9"/>
      <name val="Arial Cyr"/>
      <charset val="204"/>
    </font>
    <font>
      <sz val="7"/>
      <name val="Arial"/>
      <family val="2"/>
      <charset val="204"/>
    </font>
    <font>
      <sz val="7"/>
      <name val="Times New Roman"/>
      <family val="1"/>
    </font>
    <font>
      <sz val="10"/>
      <color rgb="FFFF0000"/>
      <name val="Arial"/>
      <family val="2"/>
      <charset val="204"/>
    </font>
    <font>
      <sz val="10"/>
      <name val="Cambria"/>
      <family val="1"/>
      <charset val="204"/>
    </font>
    <font>
      <strike/>
      <sz val="10"/>
      <name val="Cambria"/>
      <family val="1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i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sz val="10"/>
      <color theme="1"/>
      <name val="Arial Cyr"/>
    </font>
    <font>
      <i/>
      <sz val="11"/>
      <color theme="1"/>
      <name val="Calibri"/>
      <family val="2"/>
      <charset val="204"/>
      <scheme val="minor"/>
    </font>
    <font>
      <sz val="6"/>
      <name val="Arial"/>
      <family val="2"/>
      <charset val="204"/>
    </font>
    <font>
      <b/>
      <sz val="11"/>
      <color theme="1"/>
      <name val="Arial Cyr"/>
      <charset val="204"/>
    </font>
    <font>
      <sz val="10"/>
      <name val="Arial Cyr"/>
    </font>
    <font>
      <sz val="11"/>
      <color theme="1"/>
      <name val="Calibri"/>
      <family val="2"/>
      <scheme val="minor"/>
    </font>
    <font>
      <sz val="10"/>
      <color rgb="FF000000"/>
      <name val="Arial CYR"/>
    </font>
    <font>
      <b/>
      <sz val="10"/>
      <color theme="1"/>
      <name val="Arial Cyr"/>
      <charset val="204"/>
    </font>
    <font>
      <b/>
      <sz val="10"/>
      <color theme="1"/>
      <name val="Arial"/>
      <family val="2"/>
      <charset val="204"/>
    </font>
    <font>
      <sz val="11"/>
      <color rgb="FF1F497D"/>
      <name val="Calibri"/>
      <family val="2"/>
      <charset val="204"/>
    </font>
    <font>
      <sz val="11"/>
      <color theme="5"/>
      <name val="Calibri"/>
      <family val="2"/>
      <charset val="204"/>
      <scheme val="minor"/>
    </font>
    <font>
      <sz val="10"/>
      <color theme="5"/>
      <name val="Arial Cy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3">
    <xf numFmtId="0" fontId="0" fillId="0" borderId="0"/>
    <xf numFmtId="43" fontId="9" fillId="0" borderId="0" applyFont="0" applyFill="0" applyBorder="0" applyAlignment="0" applyProtection="0"/>
    <xf numFmtId="0" fontId="9" fillId="0" borderId="0"/>
    <xf numFmtId="4" fontId="12" fillId="0" borderId="0">
      <alignment vertical="center"/>
    </xf>
    <xf numFmtId="9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 applyNumberFormat="0" applyFont="0" applyFill="0" applyBorder="0" applyProtection="0">
      <alignment vertical="top"/>
    </xf>
    <xf numFmtId="43" fontId="1" fillId="0" borderId="0" applyFont="0" applyFill="0" applyBorder="0" applyProtection="0"/>
    <xf numFmtId="0" fontId="28" fillId="0" borderId="0"/>
    <xf numFmtId="0" fontId="15" fillId="0" borderId="0">
      <alignment vertical="top" wrapText="1"/>
    </xf>
    <xf numFmtId="0" fontId="9" fillId="0" borderId="0"/>
    <xf numFmtId="0" fontId="33" fillId="0" borderId="0"/>
  </cellStyleXfs>
  <cellXfs count="338">
    <xf numFmtId="0" fontId="0" fillId="0" borderId="0" xfId="0"/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2" fillId="0" borderId="0" xfId="0" applyFont="1"/>
    <xf numFmtId="0" fontId="3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49" fontId="2" fillId="0" borderId="0" xfId="0" applyNumberFormat="1" applyFont="1"/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49" fontId="5" fillId="0" borderId="1" xfId="0" quotePrefix="1" applyNumberFormat="1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/>
    </xf>
    <xf numFmtId="0" fontId="2" fillId="0" borderId="10" xfId="0" applyFont="1" applyBorder="1" applyAlignment="1">
      <alignment horizontal="center" vertical="top"/>
    </xf>
    <xf numFmtId="49" fontId="2" fillId="0" borderId="10" xfId="0" applyNumberFormat="1" applyFont="1" applyBorder="1" applyAlignment="1">
      <alignment horizontal="center" vertical="top"/>
    </xf>
    <xf numFmtId="164" fontId="10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7" fillId="0" borderId="1" xfId="0" applyFont="1" applyBorder="1" applyAlignment="1">
      <alignment vertical="top"/>
    </xf>
    <xf numFmtId="0" fontId="13" fillId="0" borderId="0" xfId="0" applyFont="1"/>
    <xf numFmtId="0" fontId="13" fillId="0" borderId="1" xfId="0" applyFont="1" applyBorder="1" applyAlignment="1">
      <alignment horizontal="center" vertical="top"/>
    </xf>
    <xf numFmtId="49" fontId="13" fillId="0" borderId="1" xfId="0" applyNumberFormat="1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/>
    </xf>
    <xf numFmtId="165" fontId="14" fillId="0" borderId="1" xfId="0" applyNumberFormat="1" applyFont="1" applyBorder="1" applyAlignment="1">
      <alignment vertical="top" wrapText="1"/>
    </xf>
    <xf numFmtId="0" fontId="15" fillId="2" borderId="1" xfId="0" applyFont="1" applyFill="1" applyBorder="1" applyAlignment="1">
      <alignment horizontal="center" vertical="center"/>
    </xf>
    <xf numFmtId="16" fontId="10" fillId="2" borderId="1" xfId="0" quotePrefix="1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left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43" fontId="10" fillId="2" borderId="1" xfId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top" wrapText="1"/>
    </xf>
    <xf numFmtId="43" fontId="7" fillId="0" borderId="1" xfId="0" applyNumberFormat="1" applyFont="1" applyBorder="1" applyAlignment="1">
      <alignment horizontal="right" vertical="top" wrapText="1"/>
    </xf>
    <xf numFmtId="0" fontId="7" fillId="0" borderId="1" xfId="0" applyFont="1" applyBorder="1" applyAlignment="1">
      <alignment horizontal="right" vertical="top" wrapText="1"/>
    </xf>
    <xf numFmtId="0" fontId="14" fillId="3" borderId="1" xfId="0" applyFont="1" applyFill="1" applyBorder="1" applyAlignment="1">
      <alignment vertical="top" wrapText="1"/>
    </xf>
    <xf numFmtId="43" fontId="7" fillId="3" borderId="1" xfId="0" applyNumberFormat="1" applyFont="1" applyFill="1" applyBorder="1" applyAlignment="1">
      <alignment horizontal="right" vertical="top" wrapText="1"/>
    </xf>
    <xf numFmtId="0" fontId="13" fillId="3" borderId="1" xfId="0" applyFont="1" applyFill="1" applyBorder="1" applyAlignment="1">
      <alignment horizontal="right" vertical="top" wrapText="1"/>
    </xf>
    <xf numFmtId="167" fontId="5" fillId="0" borderId="0" xfId="1" applyNumberFormat="1" applyFont="1" applyAlignment="1">
      <alignment horizontal="left" vertical="center" wrapText="1"/>
    </xf>
    <xf numFmtId="164" fontId="14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horizontal="center" vertical="center"/>
    </xf>
    <xf numFmtId="49" fontId="11" fillId="0" borderId="1" xfId="0" quotePrefix="1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43" fontId="18" fillId="0" borderId="1" xfId="1" applyFont="1" applyBorder="1" applyAlignment="1">
      <alignment horizontal="center" vertical="center"/>
    </xf>
    <xf numFmtId="43" fontId="18" fillId="0" borderId="1" xfId="1" applyFont="1" applyBorder="1" applyAlignment="1">
      <alignment horizontal="right" vertical="center"/>
    </xf>
    <xf numFmtId="1" fontId="19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top" wrapText="1"/>
    </xf>
    <xf numFmtId="10" fontId="18" fillId="0" borderId="1" xfId="0" applyNumberFormat="1" applyFont="1" applyBorder="1" applyAlignment="1">
      <alignment horizontal="center" vertical="center" wrapText="1"/>
    </xf>
    <xf numFmtId="166" fontId="18" fillId="0" borderId="1" xfId="1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right" vertical="top"/>
    </xf>
    <xf numFmtId="165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2" fillId="3" borderId="0" xfId="0" applyFont="1" applyFill="1" applyAlignment="1">
      <alignment vertical="top"/>
    </xf>
    <xf numFmtId="0" fontId="5" fillId="3" borderId="1" xfId="0" applyFont="1" applyFill="1" applyBorder="1" applyAlignment="1">
      <alignment horizontal="right" vertical="top" wrapText="1"/>
    </xf>
    <xf numFmtId="0" fontId="6" fillId="3" borderId="1" xfId="0" applyFont="1" applyFill="1" applyBorder="1" applyAlignment="1">
      <alignment horizontal="right" vertical="top" wrapText="1"/>
    </xf>
    <xf numFmtId="49" fontId="21" fillId="0" borderId="0" xfId="0" applyNumberFormat="1" applyFont="1" applyFill="1"/>
    <xf numFmtId="49" fontId="21" fillId="0" borderId="0" xfId="0" applyNumberFormat="1" applyFont="1" applyFill="1" applyAlignment="1">
      <alignment horizontal="left" wrapText="1"/>
    </xf>
    <xf numFmtId="0" fontId="21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center"/>
    </xf>
    <xf numFmtId="0" fontId="21" fillId="0" borderId="0" xfId="0" applyFont="1" applyFill="1" applyAlignment="1">
      <alignment horizontal="right"/>
    </xf>
    <xf numFmtId="0" fontId="21" fillId="0" borderId="0" xfId="0" applyFont="1" applyFill="1" applyAlignment="1">
      <alignment horizontal="left"/>
    </xf>
    <xf numFmtId="0" fontId="22" fillId="0" borderId="0" xfId="0" applyFont="1" applyFill="1" applyAlignment="1">
      <alignment horizontal="right" wrapText="1"/>
    </xf>
    <xf numFmtId="0" fontId="22" fillId="0" borderId="0" xfId="0" applyFont="1" applyFill="1" applyAlignment="1">
      <alignment horizontal="right"/>
    </xf>
    <xf numFmtId="0" fontId="22" fillId="0" borderId="0" xfId="0" applyFont="1" applyFill="1" applyAlignment="1">
      <alignment horizontal="center" wrapText="1"/>
    </xf>
    <xf numFmtId="0" fontId="22" fillId="0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top"/>
    </xf>
    <xf numFmtId="0" fontId="23" fillId="3" borderId="9" xfId="0" applyFont="1" applyFill="1" applyBorder="1" applyAlignment="1">
      <alignment horizontal="right" vertical="top"/>
    </xf>
    <xf numFmtId="49" fontId="2" fillId="3" borderId="0" xfId="0" applyNumberFormat="1" applyFont="1" applyFill="1" applyAlignment="1">
      <alignment vertical="top"/>
    </xf>
    <xf numFmtId="0" fontId="1" fillId="0" borderId="0" xfId="5" applyFont="1"/>
    <xf numFmtId="0" fontId="13" fillId="0" borderId="0" xfId="7" applyFont="1" applyAlignment="1" applyProtection="1">
      <alignment vertical="top"/>
    </xf>
    <xf numFmtId="0" fontId="13" fillId="0" borderId="0" xfId="7" applyFont="1" applyAlignment="1" applyProtection="1">
      <alignment horizontal="left" vertical="top"/>
    </xf>
    <xf numFmtId="0" fontId="25" fillId="0" borderId="0" xfId="5" applyFont="1"/>
    <xf numFmtId="0" fontId="13" fillId="0" borderId="0" xfId="7" applyFont="1" applyAlignment="1" applyProtection="1">
      <alignment horizontal="left" vertical="top" indent="2"/>
    </xf>
    <xf numFmtId="0" fontId="13" fillId="0" borderId="0" xfId="7" applyFont="1" applyAlignment="1" applyProtection="1">
      <alignment horizontal="right"/>
    </xf>
    <xf numFmtId="0" fontId="13" fillId="0" borderId="21" xfId="7" applyFont="1" applyBorder="1" applyAlignment="1" applyProtection="1">
      <alignment horizontal="left" vertical="top" indent="3"/>
    </xf>
    <xf numFmtId="0" fontId="13" fillId="0" borderId="1" xfId="7" applyFont="1" applyBorder="1" applyAlignment="1" applyProtection="1">
      <alignment horizontal="left" vertical="center" wrapText="1"/>
    </xf>
    <xf numFmtId="43" fontId="13" fillId="0" borderId="1" xfId="8" applyNumberFormat="1" applyFont="1" applyBorder="1" applyAlignment="1" applyProtection="1">
      <alignment horizontal="right" vertical="center"/>
    </xf>
    <xf numFmtId="43" fontId="13" fillId="0" borderId="24" xfId="8" applyNumberFormat="1" applyFont="1" applyBorder="1" applyAlignment="1" applyProtection="1">
      <alignment horizontal="right" vertical="center"/>
    </xf>
    <xf numFmtId="0" fontId="13" fillId="0" borderId="1" xfId="7" applyFont="1" applyBorder="1" applyAlignment="1" applyProtection="1">
      <alignment horizontal="left" vertical="center"/>
    </xf>
    <xf numFmtId="43" fontId="13" fillId="0" borderId="25" xfId="8" applyNumberFormat="1" applyFont="1" applyBorder="1" applyAlignment="1" applyProtection="1">
      <alignment horizontal="right"/>
    </xf>
    <xf numFmtId="43" fontId="13" fillId="0" borderId="16" xfId="8" applyNumberFormat="1" applyFont="1" applyBorder="1" applyAlignment="1" applyProtection="1">
      <alignment horizontal="right"/>
    </xf>
    <xf numFmtId="0" fontId="13" fillId="0" borderId="0" xfId="7" applyFont="1" applyAlignment="1" applyProtection="1">
      <alignment horizontal="right" vertical="top"/>
    </xf>
    <xf numFmtId="43" fontId="13" fillId="0" borderId="17" xfId="8" applyNumberFormat="1" applyFont="1" applyBorder="1" applyAlignment="1" applyProtection="1">
      <alignment horizontal="right" vertical="top"/>
    </xf>
    <xf numFmtId="0" fontId="6" fillId="0" borderId="0" xfId="9" applyFont="1" applyAlignment="1">
      <alignment horizontal="left" vertical="top"/>
    </xf>
    <xf numFmtId="49" fontId="6" fillId="0" borderId="0" xfId="9" applyNumberFormat="1" applyFont="1" applyAlignment="1">
      <alignment horizontal="left" vertical="top"/>
    </xf>
    <xf numFmtId="0" fontId="6" fillId="0" borderId="0" xfId="9" applyFont="1" applyAlignment="1">
      <alignment horizontal="left" vertical="top" wrapText="1"/>
    </xf>
    <xf numFmtId="0" fontId="5" fillId="0" borderId="26" xfId="9" applyFont="1" applyBorder="1" applyAlignment="1">
      <alignment horizontal="center" vertical="top" wrapText="1"/>
    </xf>
    <xf numFmtId="0" fontId="6" fillId="0" borderId="26" xfId="9" applyFont="1" applyBorder="1" applyAlignment="1">
      <alignment horizontal="left" vertical="top" wrapText="1"/>
    </xf>
    <xf numFmtId="0" fontId="28" fillId="0" borderId="0" xfId="9"/>
    <xf numFmtId="0" fontId="31" fillId="0" borderId="0" xfId="9" applyFont="1" applyAlignment="1">
      <alignment horizontal="center" vertical="center" wrapText="1"/>
    </xf>
    <xf numFmtId="0" fontId="28" fillId="0" borderId="0" xfId="9" applyAlignment="1">
      <alignment wrapText="1"/>
    </xf>
    <xf numFmtId="0" fontId="28" fillId="0" borderId="0" xfId="9" applyAlignment="1">
      <alignment horizontal="center" vertical="center"/>
    </xf>
    <xf numFmtId="0" fontId="0" fillId="0" borderId="0" xfId="5" applyFont="1" applyAlignment="1">
      <alignment horizontal="left" vertical="center" wrapText="1"/>
    </xf>
    <xf numFmtId="0" fontId="13" fillId="0" borderId="9" xfId="7" applyFont="1" applyFill="1" applyBorder="1" applyAlignment="1" applyProtection="1">
      <alignment horizontal="left" vertical="top" indent="15"/>
    </xf>
    <xf numFmtId="0" fontId="13" fillId="0" borderId="3" xfId="7" applyFont="1" applyFill="1" applyBorder="1" applyAlignment="1" applyProtection="1">
      <alignment horizontal="right" vertical="top"/>
    </xf>
    <xf numFmtId="0" fontId="13" fillId="0" borderId="6" xfId="7" applyFont="1" applyFill="1" applyBorder="1" applyAlignment="1" applyProtection="1">
      <alignment horizontal="right" vertical="top"/>
    </xf>
    <xf numFmtId="0" fontId="13" fillId="0" borderId="9" xfId="7" applyFont="1" applyFill="1" applyBorder="1" applyAlignment="1" applyProtection="1">
      <alignment horizontal="right"/>
    </xf>
    <xf numFmtId="0" fontId="13" fillId="0" borderId="6" xfId="7" applyFont="1" applyFill="1" applyBorder="1" applyAlignment="1" applyProtection="1">
      <alignment horizontal="right"/>
    </xf>
    <xf numFmtId="0" fontId="13" fillId="0" borderId="3" xfId="7" applyFont="1" applyFill="1" applyBorder="1" applyAlignment="1" applyProtection="1">
      <alignment horizontal="right"/>
    </xf>
    <xf numFmtId="0" fontId="28" fillId="0" borderId="1" xfId="9" applyBorder="1" applyAlignment="1">
      <alignment horizontal="center" vertical="center"/>
    </xf>
    <xf numFmtId="0" fontId="32" fillId="4" borderId="1" xfId="9" applyFont="1" applyFill="1" applyBorder="1" applyAlignment="1">
      <alignment wrapText="1"/>
    </xf>
    <xf numFmtId="0" fontId="28" fillId="0" borderId="1" xfId="9" applyBorder="1" applyAlignment="1">
      <alignment wrapText="1"/>
    </xf>
    <xf numFmtId="0" fontId="31" fillId="0" borderId="0" xfId="9" applyFont="1" applyAlignment="1">
      <alignment horizontal="left" vertical="center"/>
    </xf>
    <xf numFmtId="0" fontId="28" fillId="0" borderId="1" xfId="9" applyBorder="1" applyAlignment="1">
      <alignment horizontal="center" vertical="center" wrapText="1"/>
    </xf>
    <xf numFmtId="0" fontId="13" fillId="0" borderId="20" xfId="7" applyFont="1" applyBorder="1" applyAlignment="1" applyProtection="1">
      <alignment horizontal="center" vertical="center"/>
    </xf>
    <xf numFmtId="43" fontId="13" fillId="0" borderId="21" xfId="8" applyNumberFormat="1" applyFont="1" applyBorder="1" applyAlignment="1" applyProtection="1">
      <alignment horizontal="right" vertical="center"/>
    </xf>
    <xf numFmtId="43" fontId="13" fillId="0" borderId="22" xfId="8" applyNumberFormat="1" applyFont="1" applyBorder="1" applyAlignment="1" applyProtection="1">
      <alignment horizontal="right" vertical="center"/>
    </xf>
    <xf numFmtId="0" fontId="7" fillId="0" borderId="21" xfId="7" applyFont="1" applyBorder="1" applyAlignment="1" applyProtection="1">
      <alignment horizontal="left" vertical="center"/>
    </xf>
    <xf numFmtId="49" fontId="13" fillId="0" borderId="23" xfId="7" applyNumberFormat="1" applyFont="1" applyBorder="1" applyAlignment="1" applyProtection="1">
      <alignment horizontal="center" vertical="center"/>
    </xf>
    <xf numFmtId="0" fontId="36" fillId="6" borderId="29" xfId="0" applyFont="1" applyFill="1" applyBorder="1" applyAlignment="1">
      <alignment horizontal="center" vertical="center" wrapText="1"/>
    </xf>
    <xf numFmtId="0" fontId="36" fillId="6" borderId="30" xfId="0" applyFont="1" applyFill="1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 indent="1"/>
    </xf>
    <xf numFmtId="0" fontId="37" fillId="0" borderId="32" xfId="0" applyFont="1" applyBorder="1" applyAlignment="1">
      <alignment horizontal="left" vertical="center" wrapText="1" indent="1"/>
    </xf>
    <xf numFmtId="0" fontId="2" fillId="0" borderId="0" xfId="0" applyFont="1" applyFill="1" applyAlignment="1">
      <alignment horizontal="left" vertical="center"/>
    </xf>
    <xf numFmtId="0" fontId="39" fillId="0" borderId="0" xfId="9" applyFont="1"/>
    <xf numFmtId="0" fontId="3" fillId="6" borderId="33" xfId="0" applyFont="1" applyFill="1" applyBorder="1" applyAlignment="1">
      <alignment horizontal="center" vertical="center" wrapText="1"/>
    </xf>
    <xf numFmtId="0" fontId="37" fillId="0" borderId="33" xfId="0" applyFont="1" applyFill="1" applyBorder="1" applyAlignment="1">
      <alignment vertical="center" wrapText="1"/>
    </xf>
    <xf numFmtId="0" fontId="28" fillId="0" borderId="0" xfId="9" applyFont="1"/>
    <xf numFmtId="0" fontId="39" fillId="0" borderId="0" xfId="9" applyFont="1" applyFill="1" applyAlignment="1"/>
    <xf numFmtId="0" fontId="13" fillId="0" borderId="13" xfId="7" applyFont="1" applyFill="1" applyBorder="1" applyAlignment="1" applyProtection="1">
      <alignment vertical="top" wrapText="1"/>
    </xf>
    <xf numFmtId="0" fontId="13" fillId="0" borderId="0" xfId="7" applyFont="1" applyFill="1" applyAlignment="1" applyProtection="1">
      <alignment horizontal="right"/>
    </xf>
    <xf numFmtId="0" fontId="38" fillId="0" borderId="0" xfId="5" applyFont="1" applyFill="1"/>
    <xf numFmtId="0" fontId="1" fillId="0" borderId="0" xfId="5" applyFont="1" applyFill="1"/>
    <xf numFmtId="0" fontId="13" fillId="0" borderId="0" xfId="7" applyFont="1" applyFill="1" applyAlignment="1" applyProtection="1">
      <alignment vertical="top"/>
    </xf>
    <xf numFmtId="0" fontId="26" fillId="0" borderId="0" xfId="7" applyFont="1" applyFill="1" applyAlignment="1" applyProtection="1">
      <alignment horizontal="left" indent="15"/>
    </xf>
    <xf numFmtId="0" fontId="25" fillId="0" borderId="0" xfId="5" applyFont="1" applyFill="1"/>
    <xf numFmtId="1" fontId="13" fillId="0" borderId="0" xfId="7" applyNumberFormat="1" applyFont="1" applyFill="1" applyBorder="1" applyAlignment="1" applyProtection="1">
      <alignment horizontal="center" vertical="top"/>
    </xf>
    <xf numFmtId="14" fontId="13" fillId="0" borderId="0" xfId="7" applyNumberFormat="1" applyFont="1" applyFill="1" applyBorder="1" applyAlignment="1" applyProtection="1">
      <alignment horizontal="center" vertical="top"/>
    </xf>
    <xf numFmtId="0" fontId="27" fillId="0" borderId="0" xfId="5" applyFont="1" applyFill="1" applyAlignment="1">
      <alignment horizontal="right"/>
    </xf>
    <xf numFmtId="0" fontId="13" fillId="0" borderId="21" xfId="7" applyFont="1" applyFill="1" applyBorder="1" applyAlignment="1" applyProtection="1">
      <alignment horizontal="left" vertical="top" indent="3"/>
    </xf>
    <xf numFmtId="0" fontId="13" fillId="0" borderId="1" xfId="7" applyFont="1" applyFill="1" applyBorder="1" applyAlignment="1" applyProtection="1">
      <alignment horizontal="center" vertical="center" wrapText="1"/>
    </xf>
    <xf numFmtId="0" fontId="13" fillId="0" borderId="1" xfId="7" applyFont="1" applyFill="1" applyBorder="1" applyAlignment="1" applyProtection="1">
      <alignment horizontal="center" vertical="center"/>
    </xf>
    <xf numFmtId="0" fontId="13" fillId="0" borderId="24" xfId="7" applyFont="1" applyFill="1" applyBorder="1" applyAlignment="1" applyProtection="1">
      <alignment horizontal="center" vertical="center" wrapText="1"/>
    </xf>
    <xf numFmtId="1" fontId="13" fillId="0" borderId="23" xfId="7" applyNumberFormat="1" applyFont="1" applyFill="1" applyBorder="1" applyAlignment="1" applyProtection="1">
      <alignment horizontal="center"/>
    </xf>
    <xf numFmtId="1" fontId="13" fillId="0" borderId="1" xfId="7" applyNumberFormat="1" applyFont="1" applyFill="1" applyBorder="1" applyAlignment="1" applyProtection="1">
      <alignment horizontal="center"/>
    </xf>
    <xf numFmtId="1" fontId="13" fillId="0" borderId="1" xfId="7" applyNumberFormat="1" applyFont="1" applyFill="1" applyBorder="1" applyAlignment="1" applyProtection="1">
      <alignment horizontal="center" vertical="center"/>
    </xf>
    <xf numFmtId="1" fontId="13" fillId="0" borderId="24" xfId="7" applyNumberFormat="1" applyFont="1" applyFill="1" applyBorder="1" applyAlignment="1" applyProtection="1">
      <alignment horizontal="center"/>
    </xf>
    <xf numFmtId="0" fontId="13" fillId="0" borderId="23" xfId="7" applyFont="1" applyFill="1" applyBorder="1" applyAlignment="1" applyProtection="1">
      <alignment horizontal="left" vertical="top"/>
    </xf>
    <xf numFmtId="0" fontId="7" fillId="0" borderId="1" xfId="7" applyFont="1" applyFill="1" applyBorder="1" applyAlignment="1" applyProtection="1">
      <alignment horizontal="left" vertical="center"/>
    </xf>
    <xf numFmtId="0" fontId="7" fillId="0" borderId="1" xfId="7" applyFont="1" applyFill="1" applyBorder="1" applyAlignment="1" applyProtection="1">
      <alignment horizontal="left" vertical="top" indent="3"/>
    </xf>
    <xf numFmtId="43" fontId="7" fillId="0" borderId="1" xfId="8" applyNumberFormat="1" applyFont="1" applyFill="1" applyBorder="1" applyAlignment="1" applyProtection="1">
      <alignment horizontal="right" vertical="center"/>
    </xf>
    <xf numFmtId="43" fontId="7" fillId="0" borderId="24" xfId="8" applyNumberFormat="1" applyFont="1" applyFill="1" applyBorder="1" applyAlignment="1" applyProtection="1">
      <alignment horizontal="right" vertical="center"/>
    </xf>
    <xf numFmtId="1" fontId="13" fillId="0" borderId="23" xfId="7" applyNumberFormat="1" applyFont="1" applyFill="1" applyBorder="1" applyAlignment="1" applyProtection="1">
      <alignment horizontal="center" vertical="center"/>
    </xf>
    <xf numFmtId="0" fontId="13" fillId="0" borderId="1" xfId="7" applyFont="1" applyFill="1" applyBorder="1" applyAlignment="1" applyProtection="1">
      <alignment horizontal="left" vertical="center" wrapText="1"/>
    </xf>
    <xf numFmtId="0" fontId="13" fillId="0" borderId="1" xfId="7" applyFont="1" applyFill="1" applyBorder="1" applyAlignment="1" applyProtection="1">
      <alignment horizontal="left" vertical="top" indent="3"/>
    </xf>
    <xf numFmtId="43" fontId="13" fillId="0" borderId="1" xfId="8" applyNumberFormat="1" applyFont="1" applyFill="1" applyBorder="1" applyAlignment="1" applyProtection="1">
      <alignment horizontal="right" vertical="center"/>
    </xf>
    <xf numFmtId="43" fontId="13" fillId="0" borderId="24" xfId="8" applyNumberFormat="1" applyFont="1" applyFill="1" applyBorder="1" applyAlignment="1" applyProtection="1">
      <alignment horizontal="right" vertical="center"/>
    </xf>
    <xf numFmtId="169" fontId="13" fillId="0" borderId="23" xfId="7" applyNumberFormat="1" applyFont="1" applyFill="1" applyBorder="1" applyAlignment="1" applyProtection="1">
      <alignment horizontal="center" vertical="center"/>
    </xf>
    <xf numFmtId="0" fontId="13" fillId="0" borderId="1" xfId="7" applyFont="1" applyFill="1" applyBorder="1" applyAlignment="1" applyProtection="1">
      <alignment horizontal="left" vertical="center"/>
    </xf>
    <xf numFmtId="43" fontId="26" fillId="0" borderId="1" xfId="8" applyNumberFormat="1" applyFont="1" applyFill="1" applyBorder="1" applyAlignment="1" applyProtection="1">
      <alignment horizontal="right" vertical="center"/>
    </xf>
    <xf numFmtId="0" fontId="29" fillId="0" borderId="0" xfId="5" applyFont="1" applyFill="1"/>
    <xf numFmtId="1" fontId="7" fillId="0" borderId="27" xfId="7" applyNumberFormat="1" applyFont="1" applyFill="1" applyBorder="1" applyAlignment="1" applyProtection="1">
      <alignment horizontal="center"/>
    </xf>
    <xf numFmtId="1" fontId="7" fillId="0" borderId="18" xfId="7" applyNumberFormat="1" applyFont="1" applyFill="1" applyBorder="1" applyAlignment="1" applyProtection="1">
      <alignment horizontal="left" vertical="center"/>
    </xf>
    <xf numFmtId="1" fontId="7" fillId="0" borderId="18" xfId="7" applyNumberFormat="1" applyFont="1" applyFill="1" applyBorder="1" applyAlignment="1" applyProtection="1">
      <alignment horizontal="center" vertical="center"/>
    </xf>
    <xf numFmtId="1" fontId="7" fillId="0" borderId="19" xfId="7" applyNumberFormat="1" applyFont="1" applyFill="1" applyBorder="1" applyAlignment="1" applyProtection="1">
      <alignment horizontal="center"/>
    </xf>
    <xf numFmtId="0" fontId="24" fillId="0" borderId="0" xfId="5" applyFont="1" applyFill="1"/>
    <xf numFmtId="0" fontId="13" fillId="0" borderId="20" xfId="7" applyFont="1" applyFill="1" applyBorder="1" applyAlignment="1" applyProtection="1">
      <alignment horizontal="center" vertical="center"/>
    </xf>
    <xf numFmtId="0" fontId="7" fillId="0" borderId="21" xfId="7" applyFont="1" applyFill="1" applyBorder="1" applyAlignment="1" applyProtection="1">
      <alignment horizontal="left" vertical="center"/>
    </xf>
    <xf numFmtId="43" fontId="7" fillId="0" borderId="21" xfId="8" applyNumberFormat="1" applyFont="1" applyFill="1" applyBorder="1" applyAlignment="1" applyProtection="1">
      <alignment horizontal="right" vertical="center"/>
    </xf>
    <xf numFmtId="43" fontId="7" fillId="0" borderId="22" xfId="8" applyNumberFormat="1" applyFont="1" applyFill="1" applyBorder="1" applyAlignment="1" applyProtection="1">
      <alignment horizontal="right" vertical="center"/>
    </xf>
    <xf numFmtId="0" fontId="0" fillId="0" borderId="0" xfId="5" applyFont="1" applyFill="1" applyAlignment="1">
      <alignment horizontal="left" vertical="center" wrapText="1"/>
    </xf>
    <xf numFmtId="49" fontId="13" fillId="0" borderId="23" xfId="7" applyNumberFormat="1" applyFont="1" applyFill="1" applyBorder="1" applyAlignment="1" applyProtection="1">
      <alignment horizontal="center" vertical="center"/>
    </xf>
    <xf numFmtId="49" fontId="13" fillId="0" borderId="27" xfId="7" applyNumberFormat="1" applyFont="1" applyFill="1" applyBorder="1" applyAlignment="1" applyProtection="1">
      <alignment horizontal="center" vertical="center"/>
    </xf>
    <xf numFmtId="0" fontId="13" fillId="0" borderId="18" xfId="7" applyFont="1" applyFill="1" applyBorder="1" applyAlignment="1" applyProtection="1">
      <alignment horizontal="left" vertical="center" wrapText="1"/>
    </xf>
    <xf numFmtId="0" fontId="13" fillId="0" borderId="18" xfId="7" applyFont="1" applyFill="1" applyBorder="1" applyAlignment="1" applyProtection="1">
      <alignment horizontal="left" vertical="center"/>
    </xf>
    <xf numFmtId="43" fontId="13" fillId="0" borderId="18" xfId="8" applyNumberFormat="1" applyFont="1" applyFill="1" applyBorder="1" applyAlignment="1" applyProtection="1">
      <alignment horizontal="right" vertical="center"/>
    </xf>
    <xf numFmtId="43" fontId="13" fillId="0" borderId="19" xfId="8" applyNumberFormat="1" applyFont="1" applyFill="1" applyBorder="1" applyAlignment="1" applyProtection="1">
      <alignment horizontal="right" vertical="center"/>
    </xf>
    <xf numFmtId="0" fontId="28" fillId="0" borderId="1" xfId="9" applyFill="1" applyBorder="1" applyAlignment="1">
      <alignment horizontal="center" vertical="center" wrapText="1"/>
    </xf>
    <xf numFmtId="0" fontId="28" fillId="0" borderId="0" xfId="9" applyFill="1"/>
    <xf numFmtId="0" fontId="28" fillId="0" borderId="1" xfId="9" applyFill="1" applyBorder="1" applyAlignment="1">
      <alignment vertical="center" wrapText="1"/>
    </xf>
    <xf numFmtId="0" fontId="39" fillId="0" borderId="0" xfId="9" applyFont="1" applyFill="1"/>
    <xf numFmtId="0" fontId="28" fillId="0" borderId="1" xfId="9" applyFill="1" applyBorder="1" applyAlignment="1">
      <alignment horizontal="center" vertical="center"/>
    </xf>
    <xf numFmtId="0" fontId="28" fillId="0" borderId="1" xfId="9" applyFill="1" applyBorder="1" applyAlignment="1">
      <alignment wrapText="1"/>
    </xf>
    <xf numFmtId="0" fontId="13" fillId="0" borderId="18" xfId="7" applyFont="1" applyBorder="1" applyAlignment="1" applyProtection="1">
      <alignment horizontal="left" vertical="center"/>
    </xf>
    <xf numFmtId="43" fontId="13" fillId="0" borderId="18" xfId="8" applyNumberFormat="1" applyFont="1" applyBorder="1" applyAlignment="1" applyProtection="1">
      <alignment horizontal="right" vertical="center"/>
    </xf>
    <xf numFmtId="43" fontId="13" fillId="0" borderId="19" xfId="8" applyNumberFormat="1" applyFont="1" applyBorder="1" applyAlignment="1" applyProtection="1">
      <alignment horizontal="right" vertical="center"/>
    </xf>
    <xf numFmtId="0" fontId="39" fillId="0" borderId="0" xfId="9" applyFont="1" applyFill="1" applyAlignment="1">
      <alignment wrapText="1"/>
    </xf>
    <xf numFmtId="0" fontId="6" fillId="0" borderId="0" xfId="9" applyFont="1" applyFill="1" applyAlignment="1">
      <alignment horizontal="left" vertical="top"/>
    </xf>
    <xf numFmtId="0" fontId="13" fillId="0" borderId="1" xfId="7" applyFont="1" applyFill="1" applyBorder="1" applyAlignment="1" applyProtection="1">
      <alignment horizontal="center" vertical="top"/>
    </xf>
    <xf numFmtId="14" fontId="13" fillId="0" borderId="1" xfId="7" applyNumberFormat="1" applyFont="1" applyFill="1" applyBorder="1" applyAlignment="1" applyProtection="1">
      <alignment horizontal="center" vertical="top"/>
    </xf>
    <xf numFmtId="0" fontId="28" fillId="0" borderId="0" xfId="9" applyFill="1" applyBorder="1" applyAlignment="1">
      <alignment horizontal="center" vertical="center" wrapText="1"/>
    </xf>
    <xf numFmtId="0" fontId="28" fillId="0" borderId="0" xfId="9" applyFill="1" applyBorder="1" applyAlignment="1">
      <alignment vertical="center" wrapText="1"/>
    </xf>
    <xf numFmtId="0" fontId="28" fillId="0" borderId="10" xfId="9" applyFill="1" applyBorder="1" applyAlignment="1">
      <alignment horizontal="center" vertical="center" wrapText="1"/>
    </xf>
    <xf numFmtId="0" fontId="28" fillId="0" borderId="10" xfId="9" applyFill="1" applyBorder="1" applyAlignment="1">
      <alignment vertical="center" wrapText="1"/>
    </xf>
    <xf numFmtId="0" fontId="13" fillId="0" borderId="1" xfId="7" applyFont="1" applyFill="1" applyBorder="1" applyAlignment="1" applyProtection="1">
      <alignment horizontal="center"/>
    </xf>
    <xf numFmtId="49" fontId="13" fillId="0" borderId="20" xfId="7" applyNumberFormat="1" applyFont="1" applyBorder="1" applyAlignment="1" applyProtection="1">
      <alignment horizontal="center" vertical="center"/>
    </xf>
    <xf numFmtId="0" fontId="13" fillId="0" borderId="21" xfId="7" applyFont="1" applyBorder="1" applyAlignment="1" applyProtection="1">
      <alignment horizontal="left" vertical="center" wrapText="1"/>
    </xf>
    <xf numFmtId="0" fontId="13" fillId="0" borderId="21" xfId="7" applyFont="1" applyBorder="1" applyAlignment="1" applyProtection="1">
      <alignment horizontal="left" vertical="center"/>
    </xf>
    <xf numFmtId="49" fontId="13" fillId="0" borderId="27" xfId="7" applyNumberFormat="1" applyFont="1" applyBorder="1" applyAlignment="1" applyProtection="1">
      <alignment horizontal="center" vertical="center"/>
    </xf>
    <xf numFmtId="0" fontId="13" fillId="0" borderId="1" xfId="7" applyFont="1" applyBorder="1" applyAlignment="1" applyProtection="1">
      <alignment horizontal="center" vertical="top"/>
    </xf>
    <xf numFmtId="1" fontId="13" fillId="0" borderId="1" xfId="7" applyNumberFormat="1" applyFont="1" applyFill="1" applyBorder="1" applyAlignment="1" applyProtection="1">
      <alignment horizontal="center" vertical="top"/>
    </xf>
    <xf numFmtId="168" fontId="13" fillId="0" borderId="10" xfId="7" applyNumberFormat="1" applyFont="1" applyBorder="1" applyAlignment="1" applyProtection="1">
      <alignment horizontal="center"/>
    </xf>
    <xf numFmtId="0" fontId="13" fillId="0" borderId="10" xfId="7" applyFont="1" applyBorder="1" applyAlignment="1" applyProtection="1">
      <alignment horizontal="left" vertical="top" indent="5"/>
    </xf>
    <xf numFmtId="168" fontId="13" fillId="0" borderId="11" xfId="7" applyNumberFormat="1" applyFont="1" applyBorder="1" applyAlignment="1" applyProtection="1">
      <alignment horizontal="center"/>
    </xf>
    <xf numFmtId="0" fontId="13" fillId="0" borderId="10" xfId="7" applyFont="1" applyBorder="1" applyAlignment="1" applyProtection="1">
      <alignment vertical="top"/>
    </xf>
    <xf numFmtId="0" fontId="13" fillId="0" borderId="11" xfId="7" applyFont="1" applyBorder="1" applyAlignment="1" applyProtection="1">
      <alignment horizontal="left" vertical="top" indent="5"/>
    </xf>
    <xf numFmtId="0" fontId="13" fillId="0" borderId="15" xfId="7" applyFont="1" applyBorder="1" applyAlignment="1" applyProtection="1">
      <alignment vertical="top"/>
    </xf>
    <xf numFmtId="0" fontId="28" fillId="0" borderId="0" xfId="9" applyAlignment="1"/>
    <xf numFmtId="0" fontId="20" fillId="0" borderId="0" xfId="0" applyFont="1" applyAlignment="1">
      <alignment horizontal="left" wrapText="1"/>
    </xf>
    <xf numFmtId="0" fontId="20" fillId="0" borderId="8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49" fontId="23" fillId="0" borderId="3" xfId="0" applyNumberFormat="1" applyFont="1" applyBorder="1" applyAlignment="1">
      <alignment horizontal="center" vertical="top"/>
    </xf>
    <xf numFmtId="49" fontId="23" fillId="0" borderId="4" xfId="0" applyNumberFormat="1" applyFont="1" applyBorder="1" applyAlignment="1">
      <alignment horizontal="center" vertical="top"/>
    </xf>
    <xf numFmtId="49" fontId="23" fillId="0" borderId="2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/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2" fillId="0" borderId="3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49" fontId="2" fillId="0" borderId="12" xfId="0" applyNumberFormat="1" applyFont="1" applyBorder="1" applyAlignment="1">
      <alignment horizontal="center" vertical="top"/>
    </xf>
    <xf numFmtId="49" fontId="2" fillId="0" borderId="13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0" fontId="21" fillId="0" borderId="0" xfId="0" applyFont="1" applyFill="1" applyAlignment="1">
      <alignment horizontal="right"/>
    </xf>
    <xf numFmtId="0" fontId="5" fillId="0" borderId="10" xfId="0" applyFont="1" applyBorder="1" applyAlignment="1">
      <alignment horizontal="center" vertical="center" textRotation="90" wrapText="1" readingOrder="1"/>
    </xf>
    <xf numFmtId="0" fontId="5" fillId="0" borderId="11" xfId="0" applyFont="1" applyBorder="1" applyAlignment="1">
      <alignment horizontal="center" vertical="center" textRotation="90" wrapText="1" readingOrder="1"/>
    </xf>
    <xf numFmtId="49" fontId="5" fillId="0" borderId="10" xfId="0" applyNumberFormat="1" applyFont="1" applyBorder="1" applyAlignment="1">
      <alignment horizontal="center" vertical="center" textRotation="90" wrapText="1"/>
    </xf>
    <xf numFmtId="49" fontId="5" fillId="0" borderId="11" xfId="0" applyNumberFormat="1" applyFont="1" applyBorder="1" applyAlignment="1">
      <alignment horizontal="center" vertical="center" textRotation="90" wrapText="1"/>
    </xf>
    <xf numFmtId="49" fontId="2" fillId="0" borderId="5" xfId="0" applyNumberFormat="1" applyFont="1" applyBorder="1" applyAlignment="1">
      <alignment horizontal="center" vertical="top"/>
    </xf>
    <xf numFmtId="49" fontId="2" fillId="0" borderId="6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/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/>
    <xf numFmtId="49" fontId="21" fillId="0" borderId="0" xfId="0" applyNumberFormat="1" applyFont="1" applyFill="1" applyAlignment="1">
      <alignment wrapText="1"/>
    </xf>
    <xf numFmtId="0" fontId="21" fillId="0" borderId="0" xfId="0" applyFont="1" applyFill="1" applyAlignment="1">
      <alignment wrapText="1"/>
    </xf>
    <xf numFmtId="0" fontId="31" fillId="5" borderId="3" xfId="9" applyFont="1" applyFill="1" applyBorder="1" applyAlignment="1">
      <alignment horizontal="left" wrapText="1"/>
    </xf>
    <xf numFmtId="0" fontId="31" fillId="5" borderId="4" xfId="9" applyFont="1" applyFill="1" applyBorder="1" applyAlignment="1">
      <alignment horizontal="left" wrapText="1"/>
    </xf>
    <xf numFmtId="0" fontId="31" fillId="5" borderId="2" xfId="9" applyFont="1" applyFill="1" applyBorder="1" applyAlignment="1">
      <alignment horizontal="left" wrapText="1"/>
    </xf>
    <xf numFmtId="0" fontId="34" fillId="0" borderId="1" xfId="0" applyFont="1" applyBorder="1" applyAlignment="1">
      <alignment horizontal="left" vertical="center" wrapText="1"/>
    </xf>
    <xf numFmtId="0" fontId="28" fillId="0" borderId="1" xfId="9" applyFill="1" applyBorder="1" applyAlignment="1">
      <alignment horizontal="left" wrapText="1"/>
    </xf>
    <xf numFmtId="0" fontId="32" fillId="4" borderId="1" xfId="9" applyFont="1" applyFill="1" applyBorder="1" applyAlignment="1">
      <alignment horizontal="left" vertical="top" wrapText="1"/>
    </xf>
    <xf numFmtId="0" fontId="28" fillId="0" borderId="1" xfId="9" applyBorder="1" applyAlignment="1">
      <alignment horizontal="left" vertical="top" wrapText="1"/>
    </xf>
    <xf numFmtId="0" fontId="35" fillId="0" borderId="28" xfId="9" applyFont="1" applyFill="1" applyBorder="1" applyAlignment="1">
      <alignment horizontal="center" vertical="center" wrapText="1"/>
    </xf>
    <xf numFmtId="0" fontId="35" fillId="0" borderId="28" xfId="9" applyFont="1" applyBorder="1" applyAlignment="1">
      <alignment horizontal="center" vertical="center" wrapText="1"/>
    </xf>
    <xf numFmtId="0" fontId="35" fillId="5" borderId="3" xfId="9" applyFont="1" applyFill="1" applyBorder="1" applyAlignment="1">
      <alignment horizontal="center" vertical="center" wrapText="1"/>
    </xf>
    <xf numFmtId="0" fontId="35" fillId="5" borderId="2" xfId="9" applyFont="1" applyFill="1" applyBorder="1" applyAlignment="1">
      <alignment horizontal="center" vertical="center" wrapText="1"/>
    </xf>
    <xf numFmtId="0" fontId="35" fillId="5" borderId="3" xfId="9" applyFont="1" applyFill="1" applyBorder="1" applyAlignment="1">
      <alignment horizontal="center" vertical="center"/>
    </xf>
    <xf numFmtId="0" fontId="35" fillId="5" borderId="2" xfId="9" applyFont="1" applyFill="1" applyBorder="1" applyAlignment="1">
      <alignment horizontal="center" vertical="center"/>
    </xf>
    <xf numFmtId="0" fontId="35" fillId="5" borderId="1" xfId="9" applyFont="1" applyFill="1" applyBorder="1" applyAlignment="1">
      <alignment horizontal="center" vertical="center" wrapText="1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center" vertical="top" wrapText="1"/>
    </xf>
    <xf numFmtId="0" fontId="13" fillId="0" borderId="0" xfId="7" applyFont="1" applyAlignment="1" applyProtection="1">
      <alignment horizontal="left" vertical="top"/>
    </xf>
    <xf numFmtId="0" fontId="26" fillId="0" borderId="6" xfId="7" applyFont="1" applyFill="1" applyBorder="1" applyAlignment="1" applyProtection="1">
      <alignment horizontal="center"/>
    </xf>
    <xf numFmtId="0" fontId="13" fillId="0" borderId="13" xfId="7" applyFont="1" applyBorder="1" applyAlignment="1" applyProtection="1">
      <alignment horizontal="left" vertical="top" wrapText="1"/>
    </xf>
    <xf numFmtId="0" fontId="13" fillId="0" borderId="0" xfId="7" applyFont="1" applyFill="1" applyAlignment="1" applyProtection="1">
      <alignment horizontal="right"/>
    </xf>
    <xf numFmtId="0" fontId="13" fillId="0" borderId="1" xfId="7" applyFont="1" applyFill="1" applyBorder="1" applyAlignment="1" applyProtection="1">
      <alignment horizontal="center" wrapText="1"/>
    </xf>
    <xf numFmtId="0" fontId="13" fillId="0" borderId="1" xfId="7" applyFont="1" applyFill="1" applyBorder="1" applyAlignment="1" applyProtection="1">
      <alignment horizontal="center" vertical="center" wrapText="1"/>
    </xf>
    <xf numFmtId="0" fontId="13" fillId="0" borderId="1" xfId="7" applyFont="1" applyFill="1" applyBorder="1" applyAlignment="1" applyProtection="1">
      <alignment horizontal="center"/>
    </xf>
    <xf numFmtId="0" fontId="7" fillId="0" borderId="0" xfId="7" applyFont="1" applyFill="1" applyAlignment="1" applyProtection="1">
      <alignment horizontal="center" vertical="top"/>
    </xf>
    <xf numFmtId="0" fontId="13" fillId="0" borderId="20" xfId="7" applyFont="1" applyFill="1" applyBorder="1" applyAlignment="1" applyProtection="1">
      <alignment horizontal="center" vertical="center" wrapText="1"/>
    </xf>
    <xf numFmtId="0" fontId="13" fillId="0" borderId="23" xfId="7" applyFont="1" applyFill="1" applyBorder="1" applyAlignment="1" applyProtection="1">
      <alignment horizontal="center" vertical="center" wrapText="1"/>
    </xf>
    <xf numFmtId="0" fontId="13" fillId="0" borderId="21" xfId="7" applyFont="1" applyFill="1" applyBorder="1" applyAlignment="1" applyProtection="1">
      <alignment horizontal="center" vertical="center" wrapText="1"/>
    </xf>
    <xf numFmtId="0" fontId="13" fillId="0" borderId="21" xfId="7" applyFont="1" applyFill="1" applyBorder="1" applyAlignment="1" applyProtection="1">
      <alignment horizontal="center" vertical="center"/>
    </xf>
    <xf numFmtId="0" fontId="13" fillId="0" borderId="22" xfId="7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 textRotation="90" wrapText="1" readingOrder="1"/>
    </xf>
    <xf numFmtId="49" fontId="13" fillId="0" borderId="1" xfId="0" applyNumberFormat="1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49" fontId="10" fillId="0" borderId="1" xfId="2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/>
    </xf>
    <xf numFmtId="49" fontId="13" fillId="0" borderId="1" xfId="0" applyNumberFormat="1" applyFont="1" applyBorder="1"/>
  </cellXfs>
  <cellStyles count="13">
    <cellStyle name="Обычный" xfId="0" builtinId="0"/>
    <cellStyle name="Обычный 10 2 2" xfId="11"/>
    <cellStyle name="Обычный 11 3 2" xfId="10"/>
    <cellStyle name="Обычный 2" xfId="2"/>
    <cellStyle name="Обычный 2 2" xfId="12"/>
    <cellStyle name="Обычный 3" xfId="3"/>
    <cellStyle name="Обычный 4" xfId="5"/>
    <cellStyle name="Обычный 5" xfId="9"/>
    <cellStyle name="Обычный_Лист1" xfId="7"/>
    <cellStyle name="Процентный 2" xfId="4"/>
    <cellStyle name="Финансовый" xfId="1" builtinId="3"/>
    <cellStyle name="Финансовый 2" xfId="6"/>
    <cellStyle name="Финансовый 2 2" xfId="8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52;&#1058;&#1056;%20&#1055;&#1086;&#1076;&#1088;&#1103;&#1076;&#1095;&#1080;&#1082;%2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52;&#1058;&#1056;%20&#1047;&#1072;&#1082;&#1072;&#1079;&#1095;&#1080;&#1082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3;&#1047;_&#1055;&#1072;&#1088;&#1072;&#1084;&#1077;&#1090;&#1088;&#1099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домость МТР Подрядчик "/>
      <sheetName val="топография"/>
      <sheetName val="ПДР"/>
      <sheetName val="Шкаф"/>
      <sheetName val="Коэфф1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домость МТР Заказчик"/>
      <sheetName val="топография"/>
      <sheetName val="Шкаф"/>
      <sheetName val="Коэфф1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З_Параметры"/>
      <sheetName val="лист1"/>
      <sheetName val="обновление"/>
      <sheetName val="топография"/>
      <sheetName val="Шкаф"/>
      <sheetName val="Коэфф1."/>
      <sheetName val="13.1"/>
      <sheetName val="рс"/>
      <sheetName val="ф№____ЦП"/>
      <sheetName val="свод приложен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T68"/>
  <sheetViews>
    <sheetView showGridLines="0" zoomScale="115" zoomScaleNormal="115" workbookViewId="0">
      <selection activeCell="A10" sqref="A10:XFD10"/>
    </sheetView>
  </sheetViews>
  <sheetFormatPr defaultColWidth="9.140625" defaultRowHeight="12.75" outlineLevelRow="2" x14ac:dyDescent="0.2"/>
  <cols>
    <col min="1" max="1" width="3" style="28" customWidth="1"/>
    <col min="2" max="2" width="3.28515625" style="27" customWidth="1"/>
    <col min="3" max="3" width="8.42578125" style="18" customWidth="1"/>
    <col min="4" max="4" width="32.42578125" style="19" customWidth="1"/>
    <col min="5" max="5" width="9.28515625" style="20" customWidth="1"/>
    <col min="6" max="6" width="14.7109375" style="21" customWidth="1"/>
    <col min="7" max="8" width="7.7109375" style="21" customWidth="1"/>
    <col min="9" max="9" width="8.42578125" style="21" customWidth="1"/>
    <col min="10" max="11" width="7.7109375" style="21" customWidth="1"/>
    <col min="12" max="12" width="12" style="21" customWidth="1"/>
    <col min="13" max="13" width="8.5703125" style="21" customWidth="1"/>
    <col min="14" max="16" width="7.7109375" style="21" customWidth="1"/>
    <col min="17" max="16384" width="9.140625" style="5"/>
  </cols>
  <sheetData>
    <row r="1" spans="1:16" x14ac:dyDescent="0.2">
      <c r="O1" s="81" t="s">
        <v>190</v>
      </c>
    </row>
    <row r="2" spans="1:16" ht="15" customHeight="1" x14ac:dyDescent="0.2">
      <c r="A2" s="1"/>
      <c r="B2" s="24"/>
      <c r="C2" s="2"/>
      <c r="D2" s="3"/>
      <c r="E2" s="3"/>
      <c r="F2" s="3"/>
      <c r="G2" s="3"/>
      <c r="H2" s="3"/>
      <c r="I2" s="3"/>
      <c r="J2" s="3"/>
      <c r="K2" s="5" t="s">
        <v>9</v>
      </c>
      <c r="L2" s="4"/>
      <c r="M2" s="4"/>
      <c r="N2" s="3"/>
      <c r="O2" s="3"/>
      <c r="P2" s="3"/>
    </row>
    <row r="3" spans="1:16" ht="15" customHeight="1" x14ac:dyDescent="0.2">
      <c r="A3" s="1"/>
      <c r="B3" s="24"/>
      <c r="C3" s="2"/>
      <c r="D3" s="3"/>
      <c r="E3" s="3"/>
      <c r="F3" s="3"/>
      <c r="G3" s="6"/>
      <c r="H3" s="4"/>
      <c r="I3" s="3"/>
      <c r="J3" s="3"/>
      <c r="K3" s="5" t="s">
        <v>10</v>
      </c>
      <c r="L3" s="4"/>
      <c r="M3" s="4"/>
      <c r="N3" s="3"/>
      <c r="O3" s="3"/>
      <c r="P3" s="3"/>
    </row>
    <row r="4" spans="1:16" ht="15" customHeight="1" x14ac:dyDescent="0.2">
      <c r="A4" s="1"/>
      <c r="B4" s="24"/>
      <c r="C4" s="2"/>
      <c r="D4" s="3"/>
      <c r="E4" s="3"/>
      <c r="F4" s="3"/>
      <c r="G4" s="3"/>
      <c r="H4" s="3"/>
      <c r="I4" s="3"/>
      <c r="J4" s="3"/>
      <c r="K4" s="5" t="s">
        <v>11</v>
      </c>
      <c r="L4" s="4"/>
      <c r="M4" s="4"/>
      <c r="N4" s="3"/>
      <c r="O4" s="3"/>
      <c r="P4" s="3"/>
    </row>
    <row r="5" spans="1:16" s="8" customFormat="1" ht="15" customHeight="1" x14ac:dyDescent="0.2">
      <c r="A5" s="1"/>
      <c r="B5" s="25"/>
      <c r="C5" s="7"/>
      <c r="E5" s="9"/>
      <c r="F5" s="10"/>
      <c r="G5" s="10"/>
      <c r="H5" s="10"/>
      <c r="I5" s="10"/>
      <c r="J5" s="3"/>
      <c r="K5" s="3"/>
      <c r="L5" s="10"/>
      <c r="M5" s="269" t="s">
        <v>12</v>
      </c>
      <c r="N5" s="270"/>
      <c r="O5" s="270"/>
      <c r="P5" s="271"/>
    </row>
    <row r="6" spans="1:16" s="8" customFormat="1" ht="15" customHeight="1" x14ac:dyDescent="0.2">
      <c r="A6" s="1"/>
      <c r="B6" s="25"/>
      <c r="C6" s="7"/>
      <c r="E6" s="9"/>
      <c r="F6" s="10"/>
      <c r="G6" s="10"/>
      <c r="H6" s="10"/>
      <c r="I6" s="4"/>
      <c r="J6" s="10"/>
      <c r="K6" s="10"/>
      <c r="L6" s="10" t="s">
        <v>13</v>
      </c>
      <c r="M6" s="269" t="s">
        <v>32</v>
      </c>
      <c r="N6" s="270"/>
      <c r="O6" s="270"/>
      <c r="P6" s="271"/>
    </row>
    <row r="7" spans="1:16" s="8" customFormat="1" ht="15" customHeight="1" x14ac:dyDescent="0.2">
      <c r="A7" s="1"/>
      <c r="B7" s="257" t="s">
        <v>0</v>
      </c>
      <c r="C7" s="257"/>
      <c r="D7" s="257"/>
      <c r="E7" s="257"/>
      <c r="F7" s="257"/>
      <c r="G7" s="257"/>
      <c r="H7" s="257"/>
      <c r="I7" s="257"/>
      <c r="J7" s="257"/>
      <c r="K7" s="257"/>
      <c r="L7" s="10" t="s">
        <v>14</v>
      </c>
      <c r="M7" s="277"/>
      <c r="N7" s="278"/>
      <c r="O7" s="278"/>
      <c r="P7" s="279"/>
    </row>
    <row r="8" spans="1:16" s="8" customFormat="1" ht="15" customHeight="1" x14ac:dyDescent="0.2">
      <c r="A8" s="1"/>
      <c r="B8" s="257" t="s">
        <v>95</v>
      </c>
      <c r="C8" s="257"/>
      <c r="D8" s="257"/>
      <c r="E8" s="257"/>
      <c r="F8" s="257"/>
      <c r="G8" s="257"/>
      <c r="H8" s="257"/>
      <c r="I8" s="257"/>
      <c r="J8" s="257"/>
      <c r="K8" s="257"/>
      <c r="L8" s="10" t="s">
        <v>14</v>
      </c>
      <c r="M8" s="263"/>
      <c r="N8" s="264"/>
      <c r="O8" s="264"/>
      <c r="P8" s="265"/>
    </row>
    <row r="9" spans="1:16" s="8" customFormat="1" ht="15" customHeight="1" x14ac:dyDescent="0.2">
      <c r="A9" s="1"/>
      <c r="B9" s="257" t="s">
        <v>96</v>
      </c>
      <c r="C9" s="257"/>
      <c r="D9" s="257"/>
      <c r="E9" s="257"/>
      <c r="F9" s="257"/>
      <c r="G9" s="257"/>
      <c r="H9" s="257"/>
      <c r="I9" s="257"/>
      <c r="J9" s="257"/>
      <c r="K9" s="257"/>
      <c r="L9" s="10" t="s">
        <v>14</v>
      </c>
      <c r="M9" s="263"/>
      <c r="N9" s="264"/>
      <c r="O9" s="264"/>
      <c r="P9" s="265"/>
    </row>
    <row r="10" spans="1:16" s="8" customFormat="1" ht="27" customHeight="1" x14ac:dyDescent="0.2">
      <c r="A10" s="1"/>
      <c r="B10" s="258" t="s">
        <v>193</v>
      </c>
      <c r="C10" s="258"/>
      <c r="D10" s="258"/>
      <c r="E10" s="258"/>
      <c r="F10" s="258"/>
      <c r="G10" s="258"/>
      <c r="H10" s="258"/>
      <c r="I10" s="258"/>
      <c r="J10" s="258"/>
      <c r="K10" s="258"/>
      <c r="L10" s="3" t="s">
        <v>31</v>
      </c>
      <c r="M10" s="263"/>
      <c r="N10" s="264"/>
      <c r="O10" s="264"/>
      <c r="P10" s="265"/>
    </row>
    <row r="11" spans="1:16" s="8" customFormat="1" ht="15" customHeight="1" x14ac:dyDescent="0.2">
      <c r="A11" s="1"/>
      <c r="B11" s="11" t="s">
        <v>192</v>
      </c>
      <c r="C11" s="29"/>
      <c r="E11" s="9"/>
      <c r="F11" s="10"/>
      <c r="G11" s="10"/>
      <c r="H11" s="10"/>
      <c r="I11" s="1"/>
      <c r="J11" s="3"/>
      <c r="K11" s="3"/>
      <c r="L11" s="3" t="s">
        <v>31</v>
      </c>
      <c r="M11" s="266"/>
      <c r="N11" s="267"/>
      <c r="O11" s="267"/>
      <c r="P11" s="268"/>
    </row>
    <row r="12" spans="1:16" s="8" customFormat="1" ht="15" customHeight="1" x14ac:dyDescent="0.2">
      <c r="A12" s="1"/>
      <c r="B12" s="24"/>
      <c r="C12" s="29"/>
      <c r="E12" s="9"/>
      <c r="F12" s="10"/>
      <c r="G12" s="10"/>
      <c r="H12" s="10"/>
      <c r="I12" s="1"/>
      <c r="J12" s="3"/>
      <c r="K12" s="3"/>
      <c r="L12" s="10" t="s">
        <v>15</v>
      </c>
      <c r="M12" s="269"/>
      <c r="N12" s="270"/>
      <c r="O12" s="270"/>
      <c r="P12" s="271"/>
    </row>
    <row r="13" spans="1:16" s="8" customFormat="1" ht="15" customHeight="1" x14ac:dyDescent="0.2">
      <c r="A13" s="1"/>
      <c r="B13" s="97" t="s">
        <v>197</v>
      </c>
      <c r="C13" s="82"/>
      <c r="D13" s="82"/>
      <c r="E13" s="9"/>
      <c r="F13" s="10"/>
      <c r="G13" s="10"/>
      <c r="H13" s="3"/>
      <c r="I13" s="4"/>
      <c r="K13" s="10" t="s">
        <v>18</v>
      </c>
      <c r="L13" s="12" t="s">
        <v>16</v>
      </c>
      <c r="M13" s="269" t="s">
        <v>191</v>
      </c>
      <c r="N13" s="270"/>
      <c r="O13" s="270"/>
      <c r="P13" s="271"/>
    </row>
    <row r="14" spans="1:16" s="8" customFormat="1" ht="15" customHeight="1" x14ac:dyDescent="0.2">
      <c r="A14" s="1"/>
      <c r="B14" s="24"/>
      <c r="C14" s="2"/>
      <c r="E14" s="9"/>
      <c r="F14" s="10"/>
      <c r="G14" s="10"/>
      <c r="H14" s="10"/>
      <c r="I14" s="4"/>
      <c r="L14" s="12" t="s">
        <v>17</v>
      </c>
      <c r="M14" s="269" t="s">
        <v>196</v>
      </c>
      <c r="N14" s="270"/>
      <c r="O14" s="270"/>
      <c r="P14" s="271"/>
    </row>
    <row r="15" spans="1:16" s="8" customFormat="1" ht="19.5" customHeight="1" x14ac:dyDescent="0.2">
      <c r="A15" s="1"/>
      <c r="B15" s="24"/>
      <c r="C15" s="2"/>
      <c r="E15" s="9"/>
      <c r="F15" s="10"/>
      <c r="G15" s="10"/>
      <c r="H15" s="10"/>
      <c r="I15" s="4"/>
      <c r="J15" s="82"/>
      <c r="K15" s="96" t="s">
        <v>198</v>
      </c>
      <c r="L15" s="95" t="s">
        <v>16</v>
      </c>
      <c r="M15" s="240" t="s">
        <v>53</v>
      </c>
      <c r="N15" s="241"/>
      <c r="O15" s="241"/>
      <c r="P15" s="242"/>
    </row>
    <row r="16" spans="1:16" s="8" customFormat="1" ht="15" customHeight="1" x14ac:dyDescent="0.2">
      <c r="A16" s="1"/>
      <c r="B16" s="24"/>
      <c r="C16" s="2"/>
      <c r="E16" s="9"/>
      <c r="F16" s="10"/>
      <c r="G16" s="10"/>
      <c r="H16" s="10"/>
      <c r="I16" s="4"/>
      <c r="L16" s="95" t="s">
        <v>17</v>
      </c>
      <c r="M16" s="240" t="s">
        <v>196</v>
      </c>
      <c r="N16" s="241"/>
      <c r="O16" s="241"/>
      <c r="P16" s="242"/>
    </row>
    <row r="17" spans="1:20" s="8" customFormat="1" ht="15" customHeight="1" x14ac:dyDescent="0.2">
      <c r="A17" s="1"/>
      <c r="B17" s="24"/>
      <c r="C17" s="2"/>
      <c r="E17" s="9"/>
      <c r="F17" s="1"/>
      <c r="G17" s="10"/>
      <c r="H17" s="10"/>
      <c r="I17" s="4"/>
      <c r="J17" s="10"/>
      <c r="K17" s="10"/>
      <c r="L17" s="10" t="s">
        <v>19</v>
      </c>
      <c r="M17" s="269"/>
      <c r="N17" s="270"/>
      <c r="O17" s="270"/>
      <c r="P17" s="271"/>
    </row>
    <row r="18" spans="1:20" ht="15" customHeight="1" x14ac:dyDescent="0.2">
      <c r="A18" s="1"/>
      <c r="B18" s="24"/>
      <c r="C18" s="2"/>
      <c r="D18" s="8"/>
      <c r="E18" s="9"/>
      <c r="F18" s="1"/>
      <c r="G18" s="10"/>
      <c r="H18" s="10"/>
      <c r="I18" s="10"/>
      <c r="J18" s="10"/>
      <c r="K18" s="10"/>
      <c r="L18" s="10"/>
      <c r="M18" s="10"/>
      <c r="N18" s="10"/>
      <c r="O18" s="3"/>
      <c r="P18" s="3"/>
    </row>
    <row r="19" spans="1:20" ht="15" customHeight="1" x14ac:dyDescent="0.2">
      <c r="A19" s="1"/>
      <c r="B19" s="24"/>
      <c r="C19" s="2"/>
      <c r="D19" s="8"/>
      <c r="E19" s="9"/>
      <c r="F19" s="1"/>
      <c r="G19" s="10"/>
      <c r="H19" s="10"/>
      <c r="I19" s="280" t="s">
        <v>25</v>
      </c>
      <c r="J19" s="280"/>
      <c r="K19" s="280" t="s">
        <v>24</v>
      </c>
      <c r="L19" s="281"/>
      <c r="M19" s="261" t="s">
        <v>20</v>
      </c>
      <c r="N19" s="282"/>
      <c r="O19" s="282"/>
      <c r="P19" s="254"/>
    </row>
    <row r="20" spans="1:20" ht="15" customHeight="1" x14ac:dyDescent="0.2">
      <c r="A20" s="1"/>
      <c r="B20" s="24"/>
      <c r="C20" s="2"/>
      <c r="D20" s="8"/>
      <c r="E20" s="9"/>
      <c r="F20" s="1"/>
      <c r="G20" s="10"/>
      <c r="H20" s="10"/>
      <c r="I20" s="280"/>
      <c r="J20" s="280"/>
      <c r="K20" s="281"/>
      <c r="L20" s="281"/>
      <c r="M20" s="283" t="s">
        <v>21</v>
      </c>
      <c r="N20" s="284"/>
      <c r="O20" s="283" t="s">
        <v>22</v>
      </c>
      <c r="P20" s="284"/>
    </row>
    <row r="21" spans="1:20" ht="15" customHeight="1" x14ac:dyDescent="0.2">
      <c r="A21" s="1"/>
      <c r="B21" s="24"/>
      <c r="C21" s="2"/>
      <c r="D21" s="8"/>
      <c r="E21" s="9"/>
      <c r="F21" s="1"/>
      <c r="G21" s="10"/>
      <c r="H21" s="10"/>
      <c r="I21" s="261">
        <v>1</v>
      </c>
      <c r="J21" s="262"/>
      <c r="K21" s="261" t="s">
        <v>194</v>
      </c>
      <c r="L21" s="262"/>
      <c r="M21" s="261" t="s">
        <v>195</v>
      </c>
      <c r="N21" s="262"/>
      <c r="O21" s="261" t="s">
        <v>194</v>
      </c>
      <c r="P21" s="262"/>
    </row>
    <row r="22" spans="1:20" ht="15" customHeight="1" x14ac:dyDescent="0.2">
      <c r="A22" s="13"/>
      <c r="B22" s="26"/>
      <c r="C22" s="14"/>
      <c r="D22" s="5"/>
      <c r="E22" s="15"/>
      <c r="F22" s="13"/>
      <c r="G22" s="16"/>
      <c r="H22" s="16"/>
      <c r="I22" s="16"/>
      <c r="J22" s="16"/>
      <c r="K22" s="16"/>
      <c r="L22" s="16"/>
      <c r="M22" s="16"/>
      <c r="N22" s="15"/>
      <c r="O22" s="15"/>
      <c r="P22" s="17"/>
    </row>
    <row r="23" spans="1:20" ht="15" customHeight="1" x14ac:dyDescent="0.2">
      <c r="A23" s="13"/>
      <c r="B23" s="26"/>
      <c r="C23" s="22"/>
      <c r="D23" s="15"/>
      <c r="E23" s="13"/>
      <c r="F23" s="16"/>
      <c r="G23" s="13" t="s">
        <v>23</v>
      </c>
      <c r="H23" s="16"/>
      <c r="I23" s="16"/>
      <c r="J23" s="16"/>
      <c r="K23" s="23"/>
      <c r="L23" s="16"/>
      <c r="M23" s="16"/>
      <c r="N23" s="15"/>
      <c r="O23" s="15"/>
      <c r="P23" s="17"/>
    </row>
    <row r="24" spans="1:20" ht="15" customHeight="1" x14ac:dyDescent="0.2">
      <c r="A24" s="13"/>
      <c r="B24" s="26"/>
      <c r="C24" s="22"/>
      <c r="D24" s="15"/>
      <c r="E24" s="13"/>
      <c r="F24" s="16"/>
      <c r="G24" s="13" t="s">
        <v>41</v>
      </c>
      <c r="H24" s="16"/>
      <c r="I24" s="16"/>
      <c r="J24" s="16"/>
      <c r="K24" s="23"/>
      <c r="L24" s="16"/>
      <c r="M24" s="16"/>
      <c r="N24" s="15"/>
      <c r="O24" s="15"/>
      <c r="P24" s="17"/>
    </row>
    <row r="25" spans="1:20" ht="15" customHeight="1" x14ac:dyDescent="0.2">
      <c r="A25" s="13"/>
      <c r="B25" s="26"/>
      <c r="C25" s="22"/>
      <c r="D25" s="15"/>
      <c r="E25" s="13"/>
      <c r="F25" s="16"/>
      <c r="G25" s="16"/>
      <c r="H25" s="16"/>
      <c r="I25" s="16"/>
      <c r="J25" s="16"/>
      <c r="K25" s="23"/>
      <c r="L25" s="16"/>
      <c r="M25" s="16"/>
      <c r="N25" s="15"/>
      <c r="O25" s="15"/>
      <c r="P25" s="17"/>
    </row>
    <row r="26" spans="1:20" ht="15" customHeight="1" x14ac:dyDescent="0.2">
      <c r="A26" s="13"/>
      <c r="B26" s="259" t="s">
        <v>42</v>
      </c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</row>
    <row r="27" spans="1:20" ht="15" customHeight="1" outlineLevel="1" x14ac:dyDescent="0.2">
      <c r="A27" s="13"/>
      <c r="B27" s="285" t="s">
        <v>43</v>
      </c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28"/>
      <c r="R27" s="228"/>
      <c r="S27" s="228"/>
      <c r="T27" s="228"/>
    </row>
    <row r="28" spans="1:20" ht="15" customHeight="1" x14ac:dyDescent="0.2">
      <c r="A28" s="13"/>
      <c r="B28" s="85" t="s">
        <v>26</v>
      </c>
      <c r="C28" s="86"/>
      <c r="D28" s="87"/>
      <c r="E28" s="88"/>
      <c r="F28" s="89"/>
      <c r="G28" s="89"/>
      <c r="H28" s="272" t="s">
        <v>44</v>
      </c>
      <c r="I28" s="272"/>
      <c r="J28" s="90" t="s">
        <v>45</v>
      </c>
      <c r="K28" s="91"/>
      <c r="L28" s="92"/>
      <c r="M28" s="92"/>
      <c r="N28" s="93"/>
      <c r="O28" s="93"/>
      <c r="P28" s="94"/>
      <c r="Q28" s="228"/>
      <c r="R28" s="228"/>
      <c r="S28" s="228"/>
      <c r="T28" s="228"/>
    </row>
    <row r="29" spans="1:20" ht="15" customHeight="1" outlineLevel="1" x14ac:dyDescent="0.2">
      <c r="A29" s="13"/>
      <c r="B29" s="85" t="s">
        <v>46</v>
      </c>
      <c r="C29" s="86"/>
      <c r="D29" s="87"/>
      <c r="E29" s="88"/>
      <c r="F29" s="89"/>
      <c r="G29" s="89"/>
      <c r="H29" s="272" t="s">
        <v>47</v>
      </c>
      <c r="I29" s="272"/>
      <c r="J29" s="90" t="s">
        <v>45</v>
      </c>
      <c r="K29" s="91"/>
      <c r="L29" s="92"/>
      <c r="M29" s="92"/>
      <c r="N29" s="93"/>
      <c r="O29" s="93"/>
      <c r="P29" s="94"/>
      <c r="Q29" s="228"/>
      <c r="R29" s="228"/>
      <c r="S29" s="228"/>
      <c r="T29" s="228"/>
    </row>
    <row r="30" spans="1:20" ht="15" customHeight="1" outlineLevel="2" x14ac:dyDescent="0.2">
      <c r="A30" s="13"/>
      <c r="B30" s="85" t="s">
        <v>48</v>
      </c>
      <c r="C30" s="86"/>
      <c r="D30" s="87"/>
      <c r="E30" s="88"/>
      <c r="F30" s="89"/>
      <c r="G30" s="89"/>
      <c r="H30" s="272" t="s">
        <v>49</v>
      </c>
      <c r="I30" s="272"/>
      <c r="J30" s="90" t="s">
        <v>50</v>
      </c>
      <c r="K30" s="91"/>
      <c r="L30" s="92"/>
      <c r="M30" s="92"/>
      <c r="N30" s="93"/>
      <c r="O30" s="93"/>
      <c r="P30" s="94"/>
      <c r="Q30" s="228"/>
      <c r="R30" s="228"/>
      <c r="S30" s="228"/>
      <c r="T30" s="228"/>
    </row>
    <row r="31" spans="1:20" x14ac:dyDescent="0.2">
      <c r="A31" s="13"/>
      <c r="B31" s="26"/>
      <c r="C31" s="14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20" ht="20.25" customHeight="1" x14ac:dyDescent="0.2">
      <c r="A32" s="253" t="s">
        <v>34</v>
      </c>
      <c r="B32" s="254"/>
      <c r="C32" s="255" t="s">
        <v>33</v>
      </c>
      <c r="D32" s="248" t="s">
        <v>1</v>
      </c>
      <c r="E32" s="252" t="s">
        <v>2</v>
      </c>
      <c r="F32" s="252" t="s">
        <v>3</v>
      </c>
      <c r="G32" s="246" t="s">
        <v>27</v>
      </c>
      <c r="H32" s="247"/>
      <c r="I32" s="247"/>
      <c r="J32" s="247"/>
      <c r="K32" s="246" t="s">
        <v>28</v>
      </c>
      <c r="L32" s="247"/>
      <c r="M32" s="247"/>
      <c r="N32" s="247"/>
      <c r="O32" s="248" t="s">
        <v>29</v>
      </c>
      <c r="P32" s="250" t="s">
        <v>30</v>
      </c>
    </row>
    <row r="33" spans="1:16" ht="20.25" customHeight="1" x14ac:dyDescent="0.2">
      <c r="A33" s="273" t="s">
        <v>35</v>
      </c>
      <c r="B33" s="275" t="s">
        <v>36</v>
      </c>
      <c r="C33" s="256"/>
      <c r="D33" s="249"/>
      <c r="E33" s="252"/>
      <c r="F33" s="252"/>
      <c r="G33" s="252" t="s">
        <v>4</v>
      </c>
      <c r="H33" s="246" t="s">
        <v>5</v>
      </c>
      <c r="I33" s="247"/>
      <c r="J33" s="247"/>
      <c r="K33" s="252" t="s">
        <v>4</v>
      </c>
      <c r="L33" s="246" t="s">
        <v>5</v>
      </c>
      <c r="M33" s="247"/>
      <c r="N33" s="247"/>
      <c r="O33" s="249"/>
      <c r="P33" s="251"/>
    </row>
    <row r="34" spans="1:16" ht="16.5" customHeight="1" x14ac:dyDescent="0.2">
      <c r="A34" s="274"/>
      <c r="B34" s="276"/>
      <c r="C34" s="256"/>
      <c r="D34" s="249"/>
      <c r="E34" s="252"/>
      <c r="F34" s="252"/>
      <c r="G34" s="252"/>
      <c r="H34" s="252" t="s">
        <v>6</v>
      </c>
      <c r="I34" s="252" t="s">
        <v>8</v>
      </c>
      <c r="J34" s="248" t="s">
        <v>7</v>
      </c>
      <c r="K34" s="252"/>
      <c r="L34" s="252" t="s">
        <v>6</v>
      </c>
      <c r="M34" s="252" t="s">
        <v>8</v>
      </c>
      <c r="N34" s="244" t="s">
        <v>7</v>
      </c>
      <c r="O34" s="249"/>
      <c r="P34" s="251"/>
    </row>
    <row r="35" spans="1:16" ht="12.75" customHeight="1" x14ac:dyDescent="0.2">
      <c r="A35" s="274"/>
      <c r="B35" s="276"/>
      <c r="C35" s="256"/>
      <c r="D35" s="249"/>
      <c r="E35" s="248"/>
      <c r="F35" s="248"/>
      <c r="G35" s="248"/>
      <c r="H35" s="248"/>
      <c r="I35" s="248"/>
      <c r="J35" s="249"/>
      <c r="K35" s="248"/>
      <c r="L35" s="248"/>
      <c r="M35" s="248"/>
      <c r="N35" s="245"/>
      <c r="O35" s="249"/>
      <c r="P35" s="251"/>
    </row>
    <row r="36" spans="1:16" x14ac:dyDescent="0.2">
      <c r="A36" s="37">
        <v>1</v>
      </c>
      <c r="B36" s="38">
        <v>2</v>
      </c>
      <c r="C36" s="38">
        <v>3</v>
      </c>
      <c r="D36" s="37">
        <v>4</v>
      </c>
      <c r="E36" s="37">
        <v>5</v>
      </c>
      <c r="F36" s="37">
        <v>6</v>
      </c>
      <c r="G36" s="37">
        <v>7</v>
      </c>
      <c r="H36" s="37">
        <v>8</v>
      </c>
      <c r="I36" s="37">
        <v>9</v>
      </c>
      <c r="J36" s="37">
        <v>10</v>
      </c>
      <c r="K36" s="37">
        <v>11</v>
      </c>
      <c r="L36" s="37">
        <v>12</v>
      </c>
      <c r="M36" s="37">
        <v>13</v>
      </c>
      <c r="N36" s="37">
        <v>14</v>
      </c>
      <c r="O36" s="37">
        <v>15</v>
      </c>
      <c r="P36" s="37">
        <v>16</v>
      </c>
    </row>
    <row r="37" spans="1:16" ht="18.75" customHeight="1" x14ac:dyDescent="0.2">
      <c r="A37" s="243" t="s">
        <v>51</v>
      </c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</row>
    <row r="38" spans="1:16" ht="18.75" customHeight="1" x14ac:dyDescent="0.2">
      <c r="A38" s="237" t="s">
        <v>52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</row>
    <row r="39" spans="1:16" ht="90" x14ac:dyDescent="0.2">
      <c r="A39" s="30">
        <v>1</v>
      </c>
      <c r="B39" s="31" t="s">
        <v>53</v>
      </c>
      <c r="C39" s="32" t="s">
        <v>56</v>
      </c>
      <c r="D39" s="33" t="s">
        <v>55</v>
      </c>
      <c r="E39" s="34" t="s">
        <v>54</v>
      </c>
      <c r="F39" s="35" t="s">
        <v>57</v>
      </c>
      <c r="G39" s="36">
        <v>4694.29</v>
      </c>
      <c r="H39" s="36">
        <v>3514.05</v>
      </c>
      <c r="I39" s="36">
        <v>217.17</v>
      </c>
      <c r="J39" s="36">
        <v>89.55</v>
      </c>
      <c r="K39" s="36">
        <v>61026</v>
      </c>
      <c r="L39" s="36">
        <v>45683</v>
      </c>
      <c r="M39" s="36">
        <v>2823</v>
      </c>
      <c r="N39" s="36">
        <v>1164</v>
      </c>
      <c r="O39" s="35" t="s">
        <v>58</v>
      </c>
      <c r="P39" s="35" t="s">
        <v>59</v>
      </c>
    </row>
    <row r="40" spans="1:16" ht="78.75" x14ac:dyDescent="0.2">
      <c r="A40" s="30">
        <v>2</v>
      </c>
      <c r="B40" s="31" t="s">
        <v>60</v>
      </c>
      <c r="C40" s="32" t="s">
        <v>63</v>
      </c>
      <c r="D40" s="33" t="s">
        <v>62</v>
      </c>
      <c r="E40" s="34" t="s">
        <v>61</v>
      </c>
      <c r="F40" s="35">
        <v>-2.5999999999999999E-2</v>
      </c>
      <c r="G40" s="36">
        <v>102702.6</v>
      </c>
      <c r="H40" s="35"/>
      <c r="I40" s="35"/>
      <c r="J40" s="35"/>
      <c r="K40" s="36">
        <v>-2670</v>
      </c>
      <c r="L40" s="35"/>
      <c r="M40" s="35"/>
      <c r="N40" s="35"/>
      <c r="O40" s="35" t="s">
        <v>64</v>
      </c>
      <c r="P40" s="35" t="s">
        <v>64</v>
      </c>
    </row>
    <row r="41" spans="1:16" ht="78.75" x14ac:dyDescent="0.2">
      <c r="A41" s="30">
        <v>3</v>
      </c>
      <c r="B41" s="31" t="s">
        <v>65</v>
      </c>
      <c r="C41" s="32" t="s">
        <v>68</v>
      </c>
      <c r="D41" s="33" t="s">
        <v>67</v>
      </c>
      <c r="E41" s="34" t="s">
        <v>66</v>
      </c>
      <c r="F41" s="35" t="s">
        <v>69</v>
      </c>
      <c r="G41" s="36">
        <v>134244</v>
      </c>
      <c r="H41" s="35"/>
      <c r="I41" s="35"/>
      <c r="J41" s="35"/>
      <c r="K41" s="36">
        <v>-8860</v>
      </c>
      <c r="L41" s="35"/>
      <c r="M41" s="35"/>
      <c r="N41" s="35"/>
      <c r="O41" s="35" t="s">
        <v>64</v>
      </c>
      <c r="P41" s="35" t="s">
        <v>64</v>
      </c>
    </row>
    <row r="42" spans="1:16" ht="126" x14ac:dyDescent="0.2">
      <c r="A42" s="30">
        <v>4</v>
      </c>
      <c r="B42" s="31" t="s">
        <v>70</v>
      </c>
      <c r="C42" s="32" t="s">
        <v>71</v>
      </c>
      <c r="D42" s="33" t="s">
        <v>73</v>
      </c>
      <c r="E42" s="34" t="s">
        <v>72</v>
      </c>
      <c r="F42" s="35">
        <v>13</v>
      </c>
      <c r="G42" s="36">
        <v>16911.77</v>
      </c>
      <c r="H42" s="35"/>
      <c r="I42" s="35"/>
      <c r="J42" s="35"/>
      <c r="K42" s="36">
        <v>219853</v>
      </c>
      <c r="L42" s="35"/>
      <c r="M42" s="35"/>
      <c r="N42" s="35"/>
      <c r="O42" s="35" t="s">
        <v>64</v>
      </c>
      <c r="P42" s="35" t="s">
        <v>64</v>
      </c>
    </row>
    <row r="43" spans="1:16" ht="101.25" x14ac:dyDescent="0.2">
      <c r="A43" s="30">
        <v>5</v>
      </c>
      <c r="B43" s="31" t="s">
        <v>74</v>
      </c>
      <c r="C43" s="32" t="s">
        <v>75</v>
      </c>
      <c r="D43" s="33" t="s">
        <v>77</v>
      </c>
      <c r="E43" s="34" t="s">
        <v>76</v>
      </c>
      <c r="F43" s="35">
        <v>12</v>
      </c>
      <c r="G43" s="36">
        <v>32581.3</v>
      </c>
      <c r="H43" s="35"/>
      <c r="I43" s="35"/>
      <c r="J43" s="35"/>
      <c r="K43" s="36">
        <v>390976</v>
      </c>
      <c r="L43" s="35"/>
      <c r="M43" s="35"/>
      <c r="N43" s="35"/>
      <c r="O43" s="35" t="s">
        <v>64</v>
      </c>
      <c r="P43" s="35" t="s">
        <v>64</v>
      </c>
    </row>
    <row r="44" spans="1:16" ht="101.25" x14ac:dyDescent="0.2">
      <c r="A44" s="30">
        <v>6</v>
      </c>
      <c r="B44" s="31" t="s">
        <v>78</v>
      </c>
      <c r="C44" s="32" t="s">
        <v>79</v>
      </c>
      <c r="D44" s="33" t="s">
        <v>80</v>
      </c>
      <c r="E44" s="34" t="s">
        <v>76</v>
      </c>
      <c r="F44" s="35">
        <v>1</v>
      </c>
      <c r="G44" s="36">
        <v>64434.15</v>
      </c>
      <c r="H44" s="35"/>
      <c r="I44" s="35"/>
      <c r="J44" s="35"/>
      <c r="K44" s="36">
        <v>64434</v>
      </c>
      <c r="L44" s="35"/>
      <c r="M44" s="35"/>
      <c r="N44" s="35"/>
      <c r="O44" s="35" t="s">
        <v>64</v>
      </c>
      <c r="P44" s="35" t="s">
        <v>64</v>
      </c>
    </row>
    <row r="45" spans="1:16" x14ac:dyDescent="0.2">
      <c r="A45" s="237" t="s">
        <v>81</v>
      </c>
      <c r="B45" s="238"/>
      <c r="C45" s="238"/>
      <c r="D45" s="238"/>
      <c r="E45" s="238"/>
      <c r="F45" s="238"/>
      <c r="G45" s="238"/>
      <c r="H45" s="238"/>
      <c r="I45" s="238"/>
      <c r="J45" s="238"/>
      <c r="K45" s="35">
        <v>724759</v>
      </c>
      <c r="L45" s="35">
        <v>45683</v>
      </c>
      <c r="M45" s="35">
        <v>2823</v>
      </c>
      <c r="N45" s="35">
        <v>1164</v>
      </c>
      <c r="O45" s="35">
        <v>111.93</v>
      </c>
      <c r="P45" s="35">
        <v>2.08</v>
      </c>
    </row>
    <row r="46" spans="1:16" x14ac:dyDescent="0.2">
      <c r="A46" s="237" t="s">
        <v>82</v>
      </c>
      <c r="B46" s="238"/>
      <c r="C46" s="238"/>
      <c r="D46" s="238"/>
      <c r="E46" s="238"/>
      <c r="F46" s="238"/>
      <c r="G46" s="238"/>
      <c r="H46" s="238"/>
      <c r="I46" s="238"/>
      <c r="J46" s="238"/>
      <c r="K46" s="35">
        <v>59964</v>
      </c>
      <c r="L46" s="35"/>
      <c r="M46" s="35"/>
      <c r="N46" s="35"/>
      <c r="O46" s="35"/>
      <c r="P46" s="35"/>
    </row>
    <row r="47" spans="1:16" x14ac:dyDescent="0.2">
      <c r="A47" s="237" t="s">
        <v>83</v>
      </c>
      <c r="B47" s="238"/>
      <c r="C47" s="238"/>
      <c r="D47" s="238"/>
      <c r="E47" s="238"/>
      <c r="F47" s="238"/>
      <c r="G47" s="238"/>
      <c r="H47" s="238"/>
      <c r="I47" s="238"/>
      <c r="J47" s="238"/>
      <c r="K47" s="35">
        <v>38883</v>
      </c>
      <c r="L47" s="35"/>
      <c r="M47" s="35"/>
      <c r="N47" s="35"/>
      <c r="O47" s="35"/>
      <c r="P47" s="35"/>
    </row>
    <row r="48" spans="1:16" x14ac:dyDescent="0.2">
      <c r="A48" s="239" t="s">
        <v>84</v>
      </c>
      <c r="B48" s="238"/>
      <c r="C48" s="238"/>
      <c r="D48" s="238"/>
      <c r="E48" s="238"/>
      <c r="F48" s="238"/>
      <c r="G48" s="238"/>
      <c r="H48" s="238"/>
      <c r="I48" s="238"/>
      <c r="J48" s="238"/>
      <c r="K48" s="35"/>
      <c r="L48" s="35"/>
      <c r="M48" s="35"/>
      <c r="N48" s="35"/>
      <c r="O48" s="35"/>
      <c r="P48" s="35"/>
    </row>
    <row r="49" spans="1:19" ht="21.95" customHeight="1" x14ac:dyDescent="0.2">
      <c r="A49" s="237" t="s">
        <v>85</v>
      </c>
      <c r="B49" s="238"/>
      <c r="C49" s="238"/>
      <c r="D49" s="238"/>
      <c r="E49" s="238"/>
      <c r="F49" s="238"/>
      <c r="G49" s="238"/>
      <c r="H49" s="238"/>
      <c r="I49" s="238"/>
      <c r="J49" s="238"/>
      <c r="K49" s="35">
        <v>148343</v>
      </c>
      <c r="L49" s="35"/>
      <c r="M49" s="35"/>
      <c r="N49" s="35"/>
      <c r="O49" s="35">
        <v>111.93</v>
      </c>
      <c r="P49" s="35">
        <v>2.08</v>
      </c>
    </row>
    <row r="50" spans="1:19" x14ac:dyDescent="0.2">
      <c r="A50" s="237" t="s">
        <v>86</v>
      </c>
      <c r="B50" s="238"/>
      <c r="C50" s="238"/>
      <c r="D50" s="238"/>
      <c r="E50" s="238"/>
      <c r="F50" s="238"/>
      <c r="G50" s="238"/>
      <c r="H50" s="238"/>
      <c r="I50" s="238"/>
      <c r="J50" s="238"/>
      <c r="K50" s="35">
        <v>675263</v>
      </c>
      <c r="L50" s="35"/>
      <c r="M50" s="35"/>
      <c r="N50" s="35"/>
      <c r="O50" s="35"/>
      <c r="P50" s="35"/>
    </row>
    <row r="51" spans="1:19" x14ac:dyDescent="0.2">
      <c r="A51" s="237" t="s">
        <v>87</v>
      </c>
      <c r="B51" s="238"/>
      <c r="C51" s="238"/>
      <c r="D51" s="238"/>
      <c r="E51" s="238"/>
      <c r="F51" s="238"/>
      <c r="G51" s="238"/>
      <c r="H51" s="238"/>
      <c r="I51" s="238"/>
      <c r="J51" s="238"/>
      <c r="K51" s="35">
        <v>823606</v>
      </c>
      <c r="L51" s="35"/>
      <c r="M51" s="35"/>
      <c r="N51" s="35"/>
      <c r="O51" s="35">
        <v>111.93</v>
      </c>
      <c r="P51" s="35">
        <v>2.08</v>
      </c>
    </row>
    <row r="52" spans="1:19" x14ac:dyDescent="0.2">
      <c r="A52" s="237" t="s">
        <v>88</v>
      </c>
      <c r="B52" s="238"/>
      <c r="C52" s="238"/>
      <c r="D52" s="238"/>
      <c r="E52" s="238"/>
      <c r="F52" s="238"/>
      <c r="G52" s="238"/>
      <c r="H52" s="238"/>
      <c r="I52" s="238"/>
      <c r="J52" s="238"/>
      <c r="K52" s="35"/>
      <c r="L52" s="35"/>
      <c r="M52" s="35"/>
      <c r="N52" s="35"/>
      <c r="O52" s="35"/>
      <c r="P52" s="35"/>
    </row>
    <row r="53" spans="1:19" x14ac:dyDescent="0.2">
      <c r="A53" s="237" t="s">
        <v>89</v>
      </c>
      <c r="B53" s="238"/>
      <c r="C53" s="238"/>
      <c r="D53" s="238"/>
      <c r="E53" s="238"/>
      <c r="F53" s="238"/>
      <c r="G53" s="238"/>
      <c r="H53" s="238"/>
      <c r="I53" s="238"/>
      <c r="J53" s="238"/>
      <c r="K53" s="35">
        <v>676253</v>
      </c>
      <c r="L53" s="35"/>
      <c r="M53" s="35"/>
      <c r="N53" s="35"/>
      <c r="O53" s="35"/>
      <c r="P53" s="35"/>
    </row>
    <row r="54" spans="1:19" x14ac:dyDescent="0.2">
      <c r="A54" s="237" t="s">
        <v>90</v>
      </c>
      <c r="B54" s="238"/>
      <c r="C54" s="238"/>
      <c r="D54" s="238"/>
      <c r="E54" s="238"/>
      <c r="F54" s="238"/>
      <c r="G54" s="238"/>
      <c r="H54" s="238"/>
      <c r="I54" s="238"/>
      <c r="J54" s="238"/>
      <c r="K54" s="35">
        <v>2823</v>
      </c>
      <c r="L54" s="35"/>
      <c r="M54" s="35"/>
      <c r="N54" s="35"/>
      <c r="O54" s="35"/>
      <c r="P54" s="35"/>
    </row>
    <row r="55" spans="1:19" x14ac:dyDescent="0.2">
      <c r="A55" s="237" t="s">
        <v>91</v>
      </c>
      <c r="B55" s="238"/>
      <c r="C55" s="238"/>
      <c r="D55" s="238"/>
      <c r="E55" s="238"/>
      <c r="F55" s="238"/>
      <c r="G55" s="238"/>
      <c r="H55" s="238"/>
      <c r="I55" s="238"/>
      <c r="J55" s="238"/>
      <c r="K55" s="35">
        <v>46847</v>
      </c>
      <c r="L55" s="35"/>
      <c r="M55" s="35"/>
      <c r="N55" s="35"/>
      <c r="O55" s="35"/>
      <c r="P55" s="35"/>
    </row>
    <row r="56" spans="1:19" x14ac:dyDescent="0.2">
      <c r="A56" s="237" t="s">
        <v>92</v>
      </c>
      <c r="B56" s="238"/>
      <c r="C56" s="238"/>
      <c r="D56" s="238"/>
      <c r="E56" s="238"/>
      <c r="F56" s="238"/>
      <c r="G56" s="238"/>
      <c r="H56" s="238"/>
      <c r="I56" s="238"/>
      <c r="J56" s="238"/>
      <c r="K56" s="35">
        <v>59964</v>
      </c>
      <c r="L56" s="35"/>
      <c r="M56" s="35"/>
      <c r="N56" s="35"/>
      <c r="O56" s="35"/>
      <c r="P56" s="35"/>
    </row>
    <row r="57" spans="1:19" x14ac:dyDescent="0.2">
      <c r="A57" s="237" t="s">
        <v>93</v>
      </c>
      <c r="B57" s="238"/>
      <c r="C57" s="238"/>
      <c r="D57" s="238"/>
      <c r="E57" s="238"/>
      <c r="F57" s="238"/>
      <c r="G57" s="238"/>
      <c r="H57" s="238"/>
      <c r="I57" s="238"/>
      <c r="J57" s="238"/>
      <c r="K57" s="35">
        <v>38883</v>
      </c>
      <c r="L57" s="35"/>
      <c r="M57" s="35"/>
      <c r="N57" s="35"/>
      <c r="O57" s="35"/>
      <c r="P57" s="35"/>
    </row>
    <row r="58" spans="1:19" x14ac:dyDescent="0.2">
      <c r="A58" s="236" t="s">
        <v>199</v>
      </c>
      <c r="B58" s="232"/>
      <c r="C58" s="232"/>
      <c r="D58" s="232"/>
      <c r="E58" s="232"/>
      <c r="F58" s="232"/>
      <c r="G58" s="232"/>
      <c r="H58" s="232"/>
      <c r="I58" s="232"/>
      <c r="J58" s="232"/>
      <c r="K58" s="83">
        <v>23061</v>
      </c>
      <c r="L58" s="83"/>
      <c r="M58" s="83"/>
      <c r="N58" s="83"/>
      <c r="O58" s="83"/>
      <c r="P58" s="83"/>
      <c r="Q58" s="229"/>
      <c r="R58" s="230"/>
      <c r="S58" s="230"/>
    </row>
    <row r="59" spans="1:19" x14ac:dyDescent="0.2">
      <c r="A59" s="231" t="s">
        <v>87</v>
      </c>
      <c r="B59" s="232"/>
      <c r="C59" s="232"/>
      <c r="D59" s="232"/>
      <c r="E59" s="232"/>
      <c r="F59" s="232"/>
      <c r="G59" s="232"/>
      <c r="H59" s="232"/>
      <c r="I59" s="232"/>
      <c r="J59" s="232"/>
      <c r="K59" s="84">
        <v>846667</v>
      </c>
      <c r="L59" s="83"/>
      <c r="M59" s="83"/>
      <c r="N59" s="83"/>
      <c r="O59" s="83"/>
      <c r="P59" s="83"/>
      <c r="Q59" s="229"/>
      <c r="R59" s="230"/>
      <c r="S59" s="230"/>
    </row>
    <row r="60" spans="1:19" x14ac:dyDescent="0.2">
      <c r="A60" s="236" t="s">
        <v>200</v>
      </c>
      <c r="B60" s="232"/>
      <c r="C60" s="232"/>
      <c r="D60" s="232"/>
      <c r="E60" s="232"/>
      <c r="F60" s="232"/>
      <c r="G60" s="232"/>
      <c r="H60" s="232"/>
      <c r="I60" s="232"/>
      <c r="J60" s="232"/>
      <c r="K60" s="83">
        <v>25400</v>
      </c>
      <c r="L60" s="83"/>
      <c r="M60" s="83"/>
      <c r="N60" s="83"/>
      <c r="O60" s="83"/>
      <c r="P60" s="83"/>
      <c r="Q60" s="229"/>
      <c r="R60" s="230"/>
      <c r="S60" s="230"/>
    </row>
    <row r="61" spans="1:19" x14ac:dyDescent="0.2">
      <c r="A61" s="236" t="s">
        <v>201</v>
      </c>
      <c r="B61" s="232"/>
      <c r="C61" s="232"/>
      <c r="D61" s="232"/>
      <c r="E61" s="232"/>
      <c r="F61" s="232"/>
      <c r="G61" s="232"/>
      <c r="H61" s="232"/>
      <c r="I61" s="232"/>
      <c r="J61" s="232"/>
      <c r="K61" s="83">
        <v>3387</v>
      </c>
      <c r="L61" s="83"/>
      <c r="M61" s="83"/>
      <c r="N61" s="83"/>
      <c r="O61" s="83"/>
      <c r="P61" s="83"/>
      <c r="Q61" s="229"/>
      <c r="R61" s="230"/>
      <c r="S61" s="230"/>
    </row>
    <row r="62" spans="1:19" x14ac:dyDescent="0.2">
      <c r="A62" s="236" t="s">
        <v>202</v>
      </c>
      <c r="B62" s="232"/>
      <c r="C62" s="232"/>
      <c r="D62" s="232"/>
      <c r="E62" s="232"/>
      <c r="F62" s="232"/>
      <c r="G62" s="232"/>
      <c r="H62" s="232"/>
      <c r="I62" s="232"/>
      <c r="J62" s="232"/>
      <c r="K62" s="83">
        <v>8467</v>
      </c>
      <c r="L62" s="83"/>
      <c r="M62" s="83"/>
      <c r="N62" s="83"/>
      <c r="O62" s="83"/>
      <c r="P62" s="83"/>
      <c r="Q62" s="229"/>
      <c r="R62" s="230"/>
      <c r="S62" s="230"/>
    </row>
    <row r="63" spans="1:19" x14ac:dyDescent="0.2">
      <c r="A63" s="236" t="s">
        <v>203</v>
      </c>
      <c r="B63" s="232"/>
      <c r="C63" s="232"/>
      <c r="D63" s="232"/>
      <c r="E63" s="232"/>
      <c r="F63" s="232"/>
      <c r="G63" s="232"/>
      <c r="H63" s="232"/>
      <c r="I63" s="232"/>
      <c r="J63" s="232"/>
      <c r="K63" s="83">
        <v>8467</v>
      </c>
      <c r="L63" s="83"/>
      <c r="M63" s="83"/>
      <c r="N63" s="83"/>
      <c r="O63" s="83"/>
      <c r="P63" s="83"/>
      <c r="Q63" s="229"/>
      <c r="R63" s="230"/>
      <c r="S63" s="230"/>
    </row>
    <row r="64" spans="1:19" x14ac:dyDescent="0.2">
      <c r="A64" s="231" t="s">
        <v>87</v>
      </c>
      <c r="B64" s="232"/>
      <c r="C64" s="232"/>
      <c r="D64" s="232"/>
      <c r="E64" s="232"/>
      <c r="F64" s="232"/>
      <c r="G64" s="232"/>
      <c r="H64" s="232"/>
      <c r="I64" s="232"/>
      <c r="J64" s="232"/>
      <c r="K64" s="84">
        <v>900855</v>
      </c>
      <c r="L64" s="83"/>
      <c r="M64" s="83"/>
      <c r="N64" s="83"/>
      <c r="O64" s="83"/>
      <c r="P64" s="83"/>
      <c r="Q64" s="229"/>
      <c r="R64" s="230"/>
      <c r="S64" s="230"/>
    </row>
    <row r="65" spans="1:19" x14ac:dyDescent="0.2">
      <c r="A65" s="236" t="s">
        <v>204</v>
      </c>
      <c r="B65" s="232"/>
      <c r="C65" s="232"/>
      <c r="D65" s="232"/>
      <c r="E65" s="232"/>
      <c r="F65" s="232"/>
      <c r="G65" s="232"/>
      <c r="H65" s="232"/>
      <c r="I65" s="232"/>
      <c r="J65" s="232"/>
      <c r="K65" s="83" t="s">
        <v>207</v>
      </c>
      <c r="L65" s="83"/>
      <c r="M65" s="83"/>
      <c r="N65" s="83"/>
      <c r="O65" s="83"/>
      <c r="P65" s="83"/>
      <c r="Q65" s="229"/>
      <c r="R65" s="230"/>
      <c r="S65" s="230"/>
    </row>
    <row r="66" spans="1:19" ht="12.75" customHeight="1" x14ac:dyDescent="0.2">
      <c r="A66" s="233" t="s">
        <v>205</v>
      </c>
      <c r="B66" s="234"/>
      <c r="C66" s="234"/>
      <c r="D66" s="234"/>
      <c r="E66" s="234"/>
      <c r="F66" s="234"/>
      <c r="G66" s="234"/>
      <c r="H66" s="234"/>
      <c r="I66" s="234"/>
      <c r="J66" s="235"/>
      <c r="K66" s="83">
        <v>13513</v>
      </c>
      <c r="L66" s="83"/>
      <c r="M66" s="83"/>
      <c r="N66" s="83"/>
      <c r="O66" s="83"/>
      <c r="P66" s="83"/>
      <c r="Q66" s="229"/>
      <c r="R66" s="230"/>
      <c r="S66" s="230"/>
    </row>
    <row r="67" spans="1:19" ht="12.75" customHeight="1" x14ac:dyDescent="0.2">
      <c r="A67" s="233" t="s">
        <v>206</v>
      </c>
      <c r="B67" s="234"/>
      <c r="C67" s="234"/>
      <c r="D67" s="234"/>
      <c r="E67" s="234"/>
      <c r="F67" s="234"/>
      <c r="G67" s="234"/>
      <c r="H67" s="234"/>
      <c r="I67" s="234"/>
      <c r="J67" s="235"/>
      <c r="K67" s="83">
        <v>18017</v>
      </c>
      <c r="L67" s="83"/>
      <c r="M67" s="83"/>
      <c r="N67" s="83"/>
      <c r="O67" s="83"/>
      <c r="P67" s="83"/>
      <c r="Q67" s="229"/>
      <c r="R67" s="230"/>
      <c r="S67" s="230"/>
    </row>
    <row r="68" spans="1:19" x14ac:dyDescent="0.2">
      <c r="A68" s="231" t="s">
        <v>94</v>
      </c>
      <c r="B68" s="232"/>
      <c r="C68" s="232"/>
      <c r="D68" s="232"/>
      <c r="E68" s="232"/>
      <c r="F68" s="232"/>
      <c r="G68" s="232"/>
      <c r="H68" s="232"/>
      <c r="I68" s="232"/>
      <c r="J68" s="232"/>
      <c r="K68" s="84">
        <v>932385</v>
      </c>
      <c r="L68" s="83"/>
      <c r="M68" s="83"/>
      <c r="N68" s="83"/>
      <c r="O68" s="84">
        <v>111.93</v>
      </c>
      <c r="P68" s="84">
        <v>2.08</v>
      </c>
      <c r="Q68" s="229"/>
      <c r="R68" s="230"/>
      <c r="S68" s="230"/>
    </row>
  </sheetData>
  <mergeCells count="80">
    <mergeCell ref="A65:J65"/>
    <mergeCell ref="M5:P5"/>
    <mergeCell ref="M6:P6"/>
    <mergeCell ref="M7:P7"/>
    <mergeCell ref="M8:P8"/>
    <mergeCell ref="M9:P9"/>
    <mergeCell ref="L33:N33"/>
    <mergeCell ref="M17:P17"/>
    <mergeCell ref="I19:J20"/>
    <mergeCell ref="K19:L20"/>
    <mergeCell ref="M19:P19"/>
    <mergeCell ref="M20:N20"/>
    <mergeCell ref="O20:P20"/>
    <mergeCell ref="B27:P27"/>
    <mergeCell ref="H28:I28"/>
    <mergeCell ref="H29:I29"/>
    <mergeCell ref="H30:I30"/>
    <mergeCell ref="A33:A35"/>
    <mergeCell ref="B33:B35"/>
    <mergeCell ref="G33:G35"/>
    <mergeCell ref="H33:J33"/>
    <mergeCell ref="G32:J32"/>
    <mergeCell ref="K33:K35"/>
    <mergeCell ref="B7:K7"/>
    <mergeCell ref="B8:K8"/>
    <mergeCell ref="B9:K9"/>
    <mergeCell ref="B10:K10"/>
    <mergeCell ref="B26:P26"/>
    <mergeCell ref="I21:J21"/>
    <mergeCell ref="K21:L21"/>
    <mergeCell ref="M21:N21"/>
    <mergeCell ref="O21:P21"/>
    <mergeCell ref="M10:P10"/>
    <mergeCell ref="M11:P11"/>
    <mergeCell ref="M12:P12"/>
    <mergeCell ref="M13:P13"/>
    <mergeCell ref="M14:P14"/>
    <mergeCell ref="M15:P15"/>
    <mergeCell ref="M16:P16"/>
    <mergeCell ref="A37:P37"/>
    <mergeCell ref="N34:N35"/>
    <mergeCell ref="K32:N32"/>
    <mergeCell ref="O32:O35"/>
    <mergeCell ref="P32:P35"/>
    <mergeCell ref="H34:H35"/>
    <mergeCell ref="I34:I35"/>
    <mergeCell ref="J34:J35"/>
    <mergeCell ref="L34:L35"/>
    <mergeCell ref="M34:M35"/>
    <mergeCell ref="A32:B32"/>
    <mergeCell ref="C32:C35"/>
    <mergeCell ref="D32:D35"/>
    <mergeCell ref="E32:E35"/>
    <mergeCell ref="F32:F35"/>
    <mergeCell ref="A38:P38"/>
    <mergeCell ref="A45:J45"/>
    <mergeCell ref="A46:J46"/>
    <mergeCell ref="A47:J47"/>
    <mergeCell ref="A48:J48"/>
    <mergeCell ref="A49:J49"/>
    <mergeCell ref="A50:J50"/>
    <mergeCell ref="A51:J51"/>
    <mergeCell ref="A52:J52"/>
    <mergeCell ref="A53:J53"/>
    <mergeCell ref="Q27:T30"/>
    <mergeCell ref="Q58:S68"/>
    <mergeCell ref="A64:J64"/>
    <mergeCell ref="A66:J66"/>
    <mergeCell ref="A67:J67"/>
    <mergeCell ref="A68:J68"/>
    <mergeCell ref="A59:J59"/>
    <mergeCell ref="A60:J60"/>
    <mergeCell ref="A61:J61"/>
    <mergeCell ref="A62:J62"/>
    <mergeCell ref="A63:J63"/>
    <mergeCell ref="A54:J54"/>
    <mergeCell ref="A55:J55"/>
    <mergeCell ref="A56:J56"/>
    <mergeCell ref="A57:J57"/>
    <mergeCell ref="A58:J58"/>
  </mergeCells>
  <pageMargins left="0.19685039370078741" right="0.19685039370078741" top="0.39370078740157483" bottom="0.39370078740157483" header="0.19685039370078741" footer="0.19685039370078741"/>
  <pageSetup paperSize="9" scale="96" fitToHeight="10000" orientation="landscape" r:id="rId1"/>
  <headerFooter alignWithMargins="0">
    <oddFooter>&amp;RСтраница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30" sqref="B30"/>
    </sheetView>
  </sheetViews>
  <sheetFormatPr defaultRowHeight="12.75" x14ac:dyDescent="0.2"/>
  <cols>
    <col min="1" max="1" width="5.28515625" style="118" customWidth="1"/>
    <col min="2" max="2" width="73.85546875" style="120" customWidth="1"/>
    <col min="3" max="7" width="9.140625" style="118"/>
    <col min="8" max="8" width="86.5703125" style="118" customWidth="1"/>
    <col min="9" max="16384" width="9.140625" style="118"/>
  </cols>
  <sheetData>
    <row r="1" spans="1:8" ht="21.75" customHeight="1" x14ac:dyDescent="0.2">
      <c r="B1" s="119" t="s">
        <v>252</v>
      </c>
    </row>
    <row r="2" spans="1:8" x14ac:dyDescent="0.2">
      <c r="A2" s="129">
        <v>1</v>
      </c>
      <c r="B2" s="130" t="s">
        <v>235</v>
      </c>
    </row>
    <row r="3" spans="1:8" x14ac:dyDescent="0.2">
      <c r="A3" s="129">
        <v>2</v>
      </c>
      <c r="B3" s="131" t="s">
        <v>236</v>
      </c>
    </row>
    <row r="4" spans="1:8" ht="38.25" x14ac:dyDescent="0.2">
      <c r="A4" s="129">
        <v>3</v>
      </c>
      <c r="B4" s="131" t="s">
        <v>237</v>
      </c>
    </row>
    <row r="5" spans="1:8" ht="25.5" x14ac:dyDescent="0.2">
      <c r="A5" s="129">
        <v>4</v>
      </c>
      <c r="B5" s="131" t="s">
        <v>238</v>
      </c>
    </row>
    <row r="6" spans="1:8" ht="25.5" x14ac:dyDescent="0.2">
      <c r="A6" s="129">
        <v>5</v>
      </c>
      <c r="B6" s="131" t="s">
        <v>245</v>
      </c>
    </row>
    <row r="7" spans="1:8" ht="25.5" x14ac:dyDescent="0.2">
      <c r="A7" s="129">
        <v>6</v>
      </c>
      <c r="B7" s="131" t="s">
        <v>239</v>
      </c>
    </row>
    <row r="8" spans="1:8" ht="54.75" customHeight="1" x14ac:dyDescent="0.2">
      <c r="A8" s="129">
        <v>7</v>
      </c>
      <c r="B8" s="131" t="s">
        <v>240</v>
      </c>
    </row>
    <row r="9" spans="1:8" ht="25.5" x14ac:dyDescent="0.2">
      <c r="A9" s="129">
        <v>8</v>
      </c>
      <c r="B9" s="131" t="s">
        <v>246</v>
      </c>
    </row>
    <row r="10" spans="1:8" x14ac:dyDescent="0.2">
      <c r="A10" s="129">
        <v>9</v>
      </c>
      <c r="B10" s="131" t="s">
        <v>242</v>
      </c>
    </row>
    <row r="11" spans="1:8" ht="63.75" x14ac:dyDescent="0.2">
      <c r="A11" s="129">
        <v>10</v>
      </c>
      <c r="B11" s="131" t="s">
        <v>244</v>
      </c>
    </row>
    <row r="12" spans="1:8" ht="38.25" x14ac:dyDescent="0.2">
      <c r="A12" s="129">
        <v>11</v>
      </c>
      <c r="B12" s="131" t="s">
        <v>250</v>
      </c>
      <c r="H12" s="120"/>
    </row>
    <row r="13" spans="1:8" ht="25.5" x14ac:dyDescent="0.2">
      <c r="A13" s="129">
        <v>12</v>
      </c>
      <c r="B13" s="131" t="s">
        <v>251</v>
      </c>
    </row>
  </sheetData>
  <pageMargins left="0.70078740157480324" right="0.70078740157480324" top="0.75196850393700787" bottom="0.75196850393700787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G69"/>
  <sheetViews>
    <sheetView tabSelected="1" topLeftCell="A33" zoomScaleNormal="100" workbookViewId="0">
      <selection sqref="A1:F69"/>
    </sheetView>
  </sheetViews>
  <sheetFormatPr defaultRowHeight="15" x14ac:dyDescent="0.25"/>
  <cols>
    <col min="1" max="1" width="9.42578125" style="98" customWidth="1"/>
    <col min="2" max="2" width="56.85546875" style="98" customWidth="1"/>
    <col min="3" max="3" width="12.28515625" style="98" customWidth="1"/>
    <col min="4" max="4" width="16.42578125" style="98" customWidth="1"/>
    <col min="5" max="5" width="19.5703125" style="98" customWidth="1"/>
    <col min="6" max="6" width="24.28515625" style="98" customWidth="1"/>
    <col min="7" max="7" width="8.5703125" style="98" customWidth="1"/>
    <col min="8" max="16384" width="9.140625" style="98"/>
  </cols>
  <sheetData>
    <row r="5" spans="1:7" x14ac:dyDescent="0.25">
      <c r="A5" s="99"/>
      <c r="B5" s="99"/>
      <c r="C5" s="99"/>
      <c r="D5" s="99"/>
      <c r="E5" s="99"/>
      <c r="F5" s="99"/>
    </row>
    <row r="6" spans="1:7" x14ac:dyDescent="0.25">
      <c r="A6" s="100"/>
      <c r="B6" s="101"/>
      <c r="C6" s="101"/>
      <c r="D6" s="99"/>
      <c r="E6" s="102"/>
      <c r="F6" s="219" t="s">
        <v>12</v>
      </c>
    </row>
    <row r="7" spans="1:7" x14ac:dyDescent="0.25">
      <c r="A7" s="305" t="s">
        <v>208</v>
      </c>
      <c r="B7" s="305"/>
      <c r="C7" s="305"/>
      <c r="D7" s="305"/>
      <c r="E7" s="103" t="s">
        <v>13</v>
      </c>
      <c r="F7" s="221"/>
    </row>
    <row r="8" spans="1:7" x14ac:dyDescent="0.25">
      <c r="A8" s="100"/>
      <c r="B8" s="101"/>
      <c r="C8" s="101"/>
      <c r="D8" s="99"/>
      <c r="E8" s="102"/>
      <c r="F8" s="222"/>
    </row>
    <row r="9" spans="1:7" s="152" customFormat="1" ht="15" customHeight="1" x14ac:dyDescent="0.25">
      <c r="A9" s="149" t="s">
        <v>304</v>
      </c>
      <c r="B9" s="149" t="s">
        <v>248</v>
      </c>
      <c r="C9" s="149"/>
      <c r="D9" s="149"/>
      <c r="E9" s="150" t="s">
        <v>14</v>
      </c>
      <c r="F9" s="223">
        <v>83253997</v>
      </c>
      <c r="G9" s="151"/>
    </row>
    <row r="10" spans="1:7" s="152" customFormat="1" x14ac:dyDescent="0.25">
      <c r="A10" s="304" t="s">
        <v>209</v>
      </c>
      <c r="B10" s="304"/>
      <c r="C10" s="304"/>
      <c r="D10" s="304"/>
      <c r="E10" s="153"/>
      <c r="F10" s="224"/>
      <c r="G10" s="151"/>
    </row>
    <row r="11" spans="1:7" s="152" customFormat="1" ht="15" customHeight="1" x14ac:dyDescent="0.25">
      <c r="A11" s="149" t="s">
        <v>305</v>
      </c>
      <c r="B11" s="149" t="s">
        <v>306</v>
      </c>
      <c r="C11" s="149"/>
      <c r="D11" s="149"/>
      <c r="E11" s="150" t="s">
        <v>14</v>
      </c>
      <c r="F11" s="223">
        <v>29981579</v>
      </c>
      <c r="G11" s="151"/>
    </row>
    <row r="12" spans="1:7" s="152" customFormat="1" x14ac:dyDescent="0.25">
      <c r="A12" s="154"/>
      <c r="B12" s="304" t="s">
        <v>209</v>
      </c>
      <c r="C12" s="304"/>
      <c r="D12" s="304"/>
      <c r="E12" s="304"/>
      <c r="F12" s="224"/>
      <c r="G12" s="151"/>
    </row>
    <row r="13" spans="1:7" s="152" customFormat="1" ht="15" customHeight="1" x14ac:dyDescent="0.25">
      <c r="A13" s="149" t="s">
        <v>303</v>
      </c>
      <c r="B13" s="149" t="s">
        <v>247</v>
      </c>
      <c r="C13" s="149"/>
      <c r="D13" s="149"/>
      <c r="E13" s="150" t="s">
        <v>14</v>
      </c>
      <c r="F13" s="225"/>
      <c r="G13" s="151"/>
    </row>
    <row r="14" spans="1:7" s="152" customFormat="1" x14ac:dyDescent="0.25">
      <c r="A14" s="304" t="s">
        <v>210</v>
      </c>
      <c r="B14" s="304"/>
      <c r="C14" s="304"/>
      <c r="D14" s="304"/>
      <c r="E14" s="153"/>
      <c r="F14" s="224"/>
    </row>
    <row r="15" spans="1:7" s="152" customFormat="1" x14ac:dyDescent="0.25">
      <c r="A15" s="143" t="s">
        <v>295</v>
      </c>
      <c r="B15" s="155"/>
      <c r="C15" s="155"/>
      <c r="D15" s="306" t="s">
        <v>15</v>
      </c>
      <c r="E15" s="306"/>
      <c r="F15" s="226"/>
    </row>
    <row r="16" spans="1:7" s="152" customFormat="1" x14ac:dyDescent="0.25">
      <c r="A16" s="155"/>
      <c r="B16" s="155"/>
      <c r="C16" s="155"/>
      <c r="D16" s="126" t="s">
        <v>18</v>
      </c>
      <c r="E16" s="128" t="s">
        <v>16</v>
      </c>
      <c r="F16" s="208" t="s">
        <v>211</v>
      </c>
    </row>
    <row r="17" spans="1:7" s="152" customFormat="1" x14ac:dyDescent="0.25">
      <c r="A17" s="155"/>
      <c r="B17" s="155"/>
      <c r="C17" s="155"/>
      <c r="D17" s="123"/>
      <c r="E17" s="124" t="s">
        <v>17</v>
      </c>
      <c r="F17" s="209" t="s">
        <v>249</v>
      </c>
    </row>
    <row r="18" spans="1:7" s="152" customFormat="1" x14ac:dyDescent="0.25">
      <c r="A18" s="155"/>
      <c r="B18" s="155"/>
      <c r="C18" s="155"/>
      <c r="D18" s="123"/>
      <c r="E18" s="125" t="s">
        <v>19</v>
      </c>
      <c r="F18" s="209"/>
    </row>
    <row r="19" spans="1:7" s="152" customFormat="1" x14ac:dyDescent="0.25">
      <c r="A19" s="155"/>
      <c r="B19" s="155"/>
      <c r="C19" s="155"/>
      <c r="D19" s="126" t="s">
        <v>324</v>
      </c>
      <c r="E19" s="127" t="s">
        <v>16</v>
      </c>
      <c r="F19" s="208">
        <v>1</v>
      </c>
      <c r="G19" s="200"/>
    </row>
    <row r="20" spans="1:7" s="152" customFormat="1" x14ac:dyDescent="0.25">
      <c r="A20" s="155"/>
      <c r="B20" s="155"/>
      <c r="C20" s="155"/>
      <c r="D20" s="123"/>
      <c r="E20" s="128" t="s">
        <v>17</v>
      </c>
      <c r="F20" s="209" t="s">
        <v>249</v>
      </c>
    </row>
    <row r="21" spans="1:7" s="152" customFormat="1" x14ac:dyDescent="0.25">
      <c r="A21" s="153"/>
      <c r="B21" s="153"/>
      <c r="C21" s="153"/>
      <c r="D21" s="153"/>
      <c r="E21" s="153"/>
      <c r="F21" s="153"/>
    </row>
    <row r="22" spans="1:7" s="152" customFormat="1" x14ac:dyDescent="0.25">
      <c r="A22" s="155"/>
      <c r="B22" s="155"/>
      <c r="C22" s="307" t="s">
        <v>25</v>
      </c>
      <c r="D22" s="308" t="s">
        <v>24</v>
      </c>
      <c r="E22" s="309" t="s">
        <v>20</v>
      </c>
      <c r="F22" s="309"/>
    </row>
    <row r="23" spans="1:7" s="152" customFormat="1" x14ac:dyDescent="0.25">
      <c r="A23" s="155"/>
      <c r="B23" s="155"/>
      <c r="C23" s="307"/>
      <c r="D23" s="308"/>
      <c r="E23" s="214" t="s">
        <v>21</v>
      </c>
      <c r="F23" s="214" t="s">
        <v>22</v>
      </c>
    </row>
    <row r="24" spans="1:7" s="152" customFormat="1" x14ac:dyDescent="0.25">
      <c r="A24" s="155"/>
      <c r="B24" s="155"/>
      <c r="C24" s="220">
        <v>34</v>
      </c>
      <c r="D24" s="209" t="s">
        <v>249</v>
      </c>
      <c r="E24" s="209" t="s">
        <v>249</v>
      </c>
      <c r="F24" s="209" t="s">
        <v>249</v>
      </c>
    </row>
    <row r="25" spans="1:7" s="152" customFormat="1" x14ac:dyDescent="0.25">
      <c r="A25" s="155"/>
      <c r="B25" s="155"/>
      <c r="C25" s="156"/>
      <c r="D25" s="157"/>
      <c r="E25" s="157"/>
      <c r="F25" s="157"/>
    </row>
    <row r="26" spans="1:7" s="152" customFormat="1" x14ac:dyDescent="0.25">
      <c r="A26" s="155"/>
      <c r="B26" s="158" t="s">
        <v>212</v>
      </c>
    </row>
    <row r="27" spans="1:7" s="152" customFormat="1" x14ac:dyDescent="0.25">
      <c r="A27" s="310" t="s">
        <v>213</v>
      </c>
      <c r="B27" s="310"/>
      <c r="C27" s="310"/>
      <c r="D27" s="310"/>
      <c r="E27" s="310"/>
      <c r="F27" s="310"/>
    </row>
    <row r="28" spans="1:7" s="152" customFormat="1" ht="15.75" thickBot="1" x14ac:dyDescent="0.3">
      <c r="A28" s="153"/>
      <c r="B28" s="153"/>
      <c r="C28" s="153"/>
      <c r="D28" s="153"/>
      <c r="E28" s="153"/>
      <c r="F28" s="153"/>
    </row>
    <row r="29" spans="1:7" s="152" customFormat="1" ht="18.75" customHeight="1" x14ac:dyDescent="0.25">
      <c r="A29" s="311" t="s">
        <v>214</v>
      </c>
      <c r="B29" s="313" t="s">
        <v>215</v>
      </c>
      <c r="C29" s="159"/>
      <c r="D29" s="314" t="s">
        <v>216</v>
      </c>
      <c r="E29" s="314"/>
      <c r="F29" s="315"/>
    </row>
    <row r="30" spans="1:7" s="152" customFormat="1" ht="28.5" customHeight="1" x14ac:dyDescent="0.25">
      <c r="A30" s="312"/>
      <c r="B30" s="308"/>
      <c r="C30" s="160" t="s">
        <v>258</v>
      </c>
      <c r="D30" s="160" t="s">
        <v>217</v>
      </c>
      <c r="E30" s="161" t="s">
        <v>218</v>
      </c>
      <c r="F30" s="162" t="s">
        <v>219</v>
      </c>
    </row>
    <row r="31" spans="1:7" s="152" customFormat="1" x14ac:dyDescent="0.25">
      <c r="A31" s="163">
        <v>1</v>
      </c>
      <c r="B31" s="164">
        <v>2</v>
      </c>
      <c r="C31" s="165">
        <v>3</v>
      </c>
      <c r="D31" s="165">
        <v>4</v>
      </c>
      <c r="E31" s="165">
        <v>5</v>
      </c>
      <c r="F31" s="166">
        <v>6</v>
      </c>
    </row>
    <row r="32" spans="1:7" s="152" customFormat="1" x14ac:dyDescent="0.25">
      <c r="A32" s="167"/>
      <c r="B32" s="168" t="s">
        <v>220</v>
      </c>
      <c r="C32" s="169"/>
      <c r="D32" s="170">
        <f>D33+D35+D36+D37+D38+D34</f>
        <v>0</v>
      </c>
      <c r="E32" s="170">
        <f>E33+E35+E36+E37+E38+E34</f>
        <v>0</v>
      </c>
      <c r="F32" s="171">
        <f>F33+F35+F36+F37+F38+F34</f>
        <v>0</v>
      </c>
    </row>
    <row r="33" spans="1:7" s="152" customFormat="1" x14ac:dyDescent="0.25">
      <c r="A33" s="172">
        <v>1</v>
      </c>
      <c r="B33" s="173" t="s">
        <v>221</v>
      </c>
      <c r="C33" s="174"/>
      <c r="D33" s="175">
        <v>0</v>
      </c>
      <c r="E33" s="175">
        <v>0</v>
      </c>
      <c r="F33" s="176">
        <v>0</v>
      </c>
    </row>
    <row r="34" spans="1:7" s="152" customFormat="1" ht="36" x14ac:dyDescent="0.25">
      <c r="A34" s="177">
        <v>1.1000000000000001</v>
      </c>
      <c r="B34" s="173" t="s">
        <v>241</v>
      </c>
      <c r="C34" s="174"/>
      <c r="D34" s="175">
        <v>0</v>
      </c>
      <c r="E34" s="175">
        <v>0</v>
      </c>
      <c r="F34" s="176">
        <v>0</v>
      </c>
      <c r="G34" s="151"/>
    </row>
    <row r="35" spans="1:7" s="152" customFormat="1" x14ac:dyDescent="0.25">
      <c r="A35" s="172">
        <v>2</v>
      </c>
      <c r="B35" s="173" t="s">
        <v>222</v>
      </c>
      <c r="C35" s="174"/>
      <c r="D35" s="175">
        <v>0</v>
      </c>
      <c r="E35" s="175">
        <v>0</v>
      </c>
      <c r="F35" s="176">
        <v>0</v>
      </c>
    </row>
    <row r="36" spans="1:7" s="152" customFormat="1" x14ac:dyDescent="0.25">
      <c r="A36" s="172">
        <v>3</v>
      </c>
      <c r="B36" s="178" t="s">
        <v>243</v>
      </c>
      <c r="C36" s="174"/>
      <c r="D36" s="179">
        <v>0</v>
      </c>
      <c r="E36" s="179">
        <v>0</v>
      </c>
      <c r="F36" s="176">
        <v>0</v>
      </c>
    </row>
    <row r="37" spans="1:7" s="180" customFormat="1" x14ac:dyDescent="0.25">
      <c r="A37" s="172">
        <v>4</v>
      </c>
      <c r="B37" s="178" t="s">
        <v>223</v>
      </c>
      <c r="C37" s="174"/>
      <c r="D37" s="175">
        <v>0</v>
      </c>
      <c r="E37" s="175">
        <v>0</v>
      </c>
      <c r="F37" s="176">
        <v>0</v>
      </c>
    </row>
    <row r="38" spans="1:7" s="152" customFormat="1" x14ac:dyDescent="0.25">
      <c r="A38" s="172">
        <v>5</v>
      </c>
      <c r="B38" s="178" t="s">
        <v>224</v>
      </c>
      <c r="C38" s="174"/>
      <c r="D38" s="175">
        <v>0</v>
      </c>
      <c r="E38" s="175">
        <v>0</v>
      </c>
      <c r="F38" s="176">
        <v>0</v>
      </c>
    </row>
    <row r="39" spans="1:7" s="185" customFormat="1" ht="15.75" customHeight="1" thickBot="1" x14ac:dyDescent="0.3">
      <c r="A39" s="181"/>
      <c r="B39" s="182" t="s">
        <v>269</v>
      </c>
      <c r="C39" s="183"/>
      <c r="D39" s="183"/>
      <c r="E39" s="183"/>
      <c r="F39" s="184"/>
    </row>
    <row r="40" spans="1:7" s="152" customFormat="1" x14ac:dyDescent="0.25">
      <c r="A40" s="186">
        <v>1</v>
      </c>
      <c r="B40" s="187" t="s">
        <v>257</v>
      </c>
      <c r="C40" s="159"/>
      <c r="D40" s="188">
        <f>D41+D43+D44+D45+D46+D42</f>
        <v>0</v>
      </c>
      <c r="E40" s="188">
        <f>E41+E43+E44+E45+E46+E42</f>
        <v>0</v>
      </c>
      <c r="F40" s="189">
        <f>F41+F43+F44+F45+F46+F42</f>
        <v>0</v>
      </c>
      <c r="G40" s="190"/>
    </row>
    <row r="41" spans="1:7" s="152" customFormat="1" x14ac:dyDescent="0.25">
      <c r="A41" s="191" t="s">
        <v>259</v>
      </c>
      <c r="B41" s="173" t="s">
        <v>221</v>
      </c>
      <c r="C41" s="178"/>
      <c r="D41" s="175">
        <v>0</v>
      </c>
      <c r="E41" s="175">
        <v>0</v>
      </c>
      <c r="F41" s="176">
        <v>0</v>
      </c>
      <c r="G41" s="190"/>
    </row>
    <row r="42" spans="1:7" s="152" customFormat="1" ht="36.75" thickBot="1" x14ac:dyDescent="0.3">
      <c r="A42" s="192" t="s">
        <v>308</v>
      </c>
      <c r="B42" s="193" t="s">
        <v>241</v>
      </c>
      <c r="C42" s="194"/>
      <c r="D42" s="195">
        <v>0</v>
      </c>
      <c r="E42" s="195">
        <v>0</v>
      </c>
      <c r="F42" s="196">
        <v>0</v>
      </c>
      <c r="G42" s="151"/>
    </row>
    <row r="43" spans="1:7" s="152" customFormat="1" x14ac:dyDescent="0.25">
      <c r="A43" s="191" t="s">
        <v>260</v>
      </c>
      <c r="B43" s="173" t="s">
        <v>222</v>
      </c>
      <c r="C43" s="178"/>
      <c r="D43" s="175">
        <v>0</v>
      </c>
      <c r="E43" s="175">
        <v>0</v>
      </c>
      <c r="F43" s="176">
        <v>0</v>
      </c>
      <c r="G43" s="190"/>
    </row>
    <row r="44" spans="1:7" s="152" customFormat="1" x14ac:dyDescent="0.25">
      <c r="A44" s="191" t="s">
        <v>261</v>
      </c>
      <c r="B44" s="178" t="s">
        <v>243</v>
      </c>
      <c r="C44" s="178"/>
      <c r="D44" s="179">
        <v>0</v>
      </c>
      <c r="E44" s="179">
        <v>0</v>
      </c>
      <c r="F44" s="176">
        <v>0</v>
      </c>
      <c r="G44" s="190"/>
    </row>
    <row r="45" spans="1:7" s="152" customFormat="1" x14ac:dyDescent="0.25">
      <c r="A45" s="191" t="s">
        <v>262</v>
      </c>
      <c r="B45" s="178" t="s">
        <v>223</v>
      </c>
      <c r="C45" s="178"/>
      <c r="D45" s="175">
        <v>0</v>
      </c>
      <c r="E45" s="175">
        <v>0</v>
      </c>
      <c r="F45" s="176">
        <v>0</v>
      </c>
      <c r="G45" s="190"/>
    </row>
    <row r="46" spans="1:7" ht="15.75" thickBot="1" x14ac:dyDescent="0.3">
      <c r="A46" s="191" t="s">
        <v>263</v>
      </c>
      <c r="B46" s="108" t="s">
        <v>224</v>
      </c>
      <c r="C46" s="108"/>
      <c r="D46" s="106">
        <v>0</v>
      </c>
      <c r="E46" s="106">
        <v>0</v>
      </c>
      <c r="F46" s="107">
        <v>0</v>
      </c>
      <c r="G46" s="122"/>
    </row>
    <row r="47" spans="1:7" x14ac:dyDescent="0.25">
      <c r="A47" s="134">
        <v>2</v>
      </c>
      <c r="B47" s="137" t="s">
        <v>257</v>
      </c>
      <c r="C47" s="104"/>
      <c r="D47" s="135"/>
      <c r="E47" s="135"/>
      <c r="F47" s="136"/>
      <c r="G47" s="122"/>
    </row>
    <row r="48" spans="1:7" x14ac:dyDescent="0.25">
      <c r="A48" s="138" t="s">
        <v>264</v>
      </c>
      <c r="B48" s="105" t="s">
        <v>221</v>
      </c>
      <c r="C48" s="108"/>
      <c r="D48" s="106"/>
      <c r="E48" s="106"/>
      <c r="F48" s="107"/>
      <c r="G48" s="122"/>
    </row>
    <row r="49" spans="1:7" s="152" customFormat="1" ht="36.75" thickBot="1" x14ac:dyDescent="0.3">
      <c r="A49" s="192" t="s">
        <v>309</v>
      </c>
      <c r="B49" s="193" t="s">
        <v>241</v>
      </c>
      <c r="C49" s="194"/>
      <c r="D49" s="195"/>
      <c r="E49" s="195"/>
      <c r="F49" s="196"/>
      <c r="G49" s="151"/>
    </row>
    <row r="50" spans="1:7" x14ac:dyDescent="0.25">
      <c r="A50" s="215" t="s">
        <v>265</v>
      </c>
      <c r="B50" s="216" t="s">
        <v>222</v>
      </c>
      <c r="C50" s="217"/>
      <c r="D50" s="135"/>
      <c r="E50" s="135"/>
      <c r="F50" s="136"/>
      <c r="G50" s="122"/>
    </row>
    <row r="51" spans="1:7" x14ac:dyDescent="0.25">
      <c r="A51" s="138" t="s">
        <v>266</v>
      </c>
      <c r="B51" s="108" t="s">
        <v>243</v>
      </c>
      <c r="C51" s="108"/>
      <c r="D51" s="106"/>
      <c r="E51" s="106"/>
      <c r="F51" s="107"/>
      <c r="G51" s="122"/>
    </row>
    <row r="52" spans="1:7" x14ac:dyDescent="0.25">
      <c r="A52" s="138" t="s">
        <v>267</v>
      </c>
      <c r="B52" s="108" t="s">
        <v>223</v>
      </c>
      <c r="C52" s="108"/>
      <c r="D52" s="106"/>
      <c r="E52" s="106"/>
      <c r="F52" s="107"/>
      <c r="G52" s="122"/>
    </row>
    <row r="53" spans="1:7" ht="15.75" thickBot="1" x14ac:dyDescent="0.3">
      <c r="A53" s="218" t="s">
        <v>268</v>
      </c>
      <c r="B53" s="203" t="s">
        <v>224</v>
      </c>
      <c r="C53" s="203"/>
      <c r="D53" s="204"/>
      <c r="E53" s="204"/>
      <c r="F53" s="205"/>
      <c r="G53" s="122"/>
    </row>
    <row r="54" spans="1:7" x14ac:dyDescent="0.25">
      <c r="A54" s="100"/>
      <c r="B54" s="303"/>
      <c r="C54" s="303"/>
      <c r="D54" s="100"/>
      <c r="E54" s="103" t="s">
        <v>225</v>
      </c>
      <c r="F54" s="109">
        <f>F32</f>
        <v>0</v>
      </c>
    </row>
    <row r="55" spans="1:7" x14ac:dyDescent="0.25">
      <c r="A55" s="100"/>
      <c r="B55" s="303"/>
      <c r="C55" s="303"/>
      <c r="D55" s="100"/>
      <c r="E55" s="103" t="s">
        <v>226</v>
      </c>
      <c r="F55" s="110">
        <f>F54*20%</f>
        <v>0</v>
      </c>
    </row>
    <row r="56" spans="1:7" ht="15.75" thickBot="1" x14ac:dyDescent="0.3">
      <c r="A56" s="100"/>
      <c r="B56" s="303"/>
      <c r="C56" s="303"/>
      <c r="D56" s="100"/>
      <c r="E56" s="111" t="s">
        <v>227</v>
      </c>
      <c r="F56" s="112">
        <f>F54+F55</f>
        <v>0</v>
      </c>
    </row>
    <row r="58" spans="1:7" x14ac:dyDescent="0.25">
      <c r="A58" s="113" t="s">
        <v>228</v>
      </c>
      <c r="B58" s="114"/>
      <c r="C58" s="115"/>
      <c r="D58" s="115"/>
      <c r="E58" s="115"/>
      <c r="F58" s="115"/>
      <c r="G58" s="115"/>
    </row>
    <row r="59" spans="1:7" x14ac:dyDescent="0.25">
      <c r="A59" s="113" t="s">
        <v>248</v>
      </c>
      <c r="B59" s="114"/>
      <c r="C59" s="115"/>
      <c r="D59" s="115"/>
      <c r="E59" s="115"/>
      <c r="F59" s="115"/>
      <c r="G59" s="115"/>
    </row>
    <row r="60" spans="1:7" x14ac:dyDescent="0.25">
      <c r="A60" s="113" t="s">
        <v>229</v>
      </c>
      <c r="B60" s="114"/>
      <c r="C60" s="116"/>
      <c r="D60" s="117"/>
      <c r="E60" s="117"/>
      <c r="F60" s="113" t="s">
        <v>230</v>
      </c>
      <c r="G60" s="115"/>
    </row>
    <row r="61" spans="1:7" ht="19.5" customHeight="1" x14ac:dyDescent="0.25">
      <c r="A61" s="301" t="s">
        <v>231</v>
      </c>
      <c r="B61" s="301"/>
      <c r="C61" s="302" t="s">
        <v>232</v>
      </c>
      <c r="D61" s="302"/>
      <c r="E61" s="302"/>
      <c r="F61" s="115"/>
      <c r="G61" s="115"/>
    </row>
    <row r="62" spans="1:7" x14ac:dyDescent="0.25">
      <c r="A62" s="113"/>
      <c r="B62" s="114"/>
      <c r="C62" s="115"/>
      <c r="D62" s="115"/>
      <c r="E62" s="115"/>
      <c r="F62" s="115"/>
      <c r="G62" s="115"/>
    </row>
    <row r="63" spans="1:7" x14ac:dyDescent="0.25">
      <c r="A63" s="113" t="s">
        <v>233</v>
      </c>
      <c r="B63" s="114"/>
      <c r="C63" s="115"/>
      <c r="D63" s="115"/>
      <c r="E63" s="115"/>
      <c r="F63" s="115"/>
      <c r="G63" s="115"/>
    </row>
    <row r="64" spans="1:7" x14ac:dyDescent="0.25">
      <c r="A64" s="113" t="s">
        <v>248</v>
      </c>
      <c r="B64" s="114"/>
      <c r="C64" s="115"/>
      <c r="D64" s="115"/>
      <c r="E64" s="115"/>
      <c r="F64" s="115"/>
      <c r="G64" s="115"/>
    </row>
    <row r="65" spans="1:7" x14ac:dyDescent="0.25">
      <c r="A65" s="113" t="s">
        <v>229</v>
      </c>
      <c r="B65" s="114"/>
      <c r="C65" s="116"/>
      <c r="D65" s="117"/>
      <c r="E65" s="117"/>
      <c r="F65" s="113" t="s">
        <v>230</v>
      </c>
      <c r="G65" s="115"/>
    </row>
    <row r="66" spans="1:7" ht="21" customHeight="1" x14ac:dyDescent="0.25">
      <c r="A66" s="301" t="s">
        <v>231</v>
      </c>
      <c r="B66" s="301"/>
      <c r="C66" s="302" t="s">
        <v>232</v>
      </c>
      <c r="D66" s="302"/>
      <c r="E66" s="302"/>
      <c r="F66" s="115"/>
      <c r="G66" s="115"/>
    </row>
    <row r="67" spans="1:7" x14ac:dyDescent="0.25">
      <c r="B67" s="114"/>
      <c r="C67" s="115"/>
      <c r="D67" s="115"/>
      <c r="E67" s="115"/>
      <c r="F67" s="115"/>
      <c r="G67" s="115"/>
    </row>
    <row r="69" spans="1:7" s="152" customFormat="1" x14ac:dyDescent="0.25">
      <c r="A69" s="207" t="s">
        <v>333</v>
      </c>
    </row>
  </sheetData>
  <mergeCells count="19">
    <mergeCell ref="A7:D7"/>
    <mergeCell ref="A66:B66"/>
    <mergeCell ref="C66:E66"/>
    <mergeCell ref="D15:E15"/>
    <mergeCell ref="C22:C23"/>
    <mergeCell ref="D22:D23"/>
    <mergeCell ref="E22:F22"/>
    <mergeCell ref="A27:F27"/>
    <mergeCell ref="A29:A30"/>
    <mergeCell ref="B29:B30"/>
    <mergeCell ref="D29:F29"/>
    <mergeCell ref="B54:C54"/>
    <mergeCell ref="B55:C55"/>
    <mergeCell ref="B56:C56"/>
    <mergeCell ref="A61:B61"/>
    <mergeCell ref="C61:E61"/>
    <mergeCell ref="A14:D14"/>
    <mergeCell ref="A10:D10"/>
    <mergeCell ref="B12:E12"/>
  </mergeCells>
  <pageMargins left="0.39370078740157477" right="0.19685039370078738" top="0.74803149606299213" bottom="0.74803149606299213" header="0.31496062992125984" footer="0.31496062992125984"/>
  <pageSetup paperSize="9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Views>
    <sheetView workbookViewId="0">
      <selection activeCell="K11" sqref="K11"/>
    </sheetView>
  </sheetViews>
  <sheetFormatPr defaultRowHeight="12.75" x14ac:dyDescent="0.2"/>
  <cols>
    <col min="1" max="1" width="5.28515625" style="118" customWidth="1"/>
    <col min="2" max="2" width="73.85546875" style="120" customWidth="1"/>
    <col min="3" max="4" width="9.140625" style="118"/>
    <col min="5" max="5" width="4.140625" style="118" customWidth="1"/>
    <col min="6" max="6" width="49.140625" style="118" customWidth="1"/>
    <col min="7" max="7" width="10.28515625" style="118" customWidth="1"/>
    <col min="8" max="8" width="5.7109375" style="118" customWidth="1"/>
    <col min="9" max="9" width="57.28515625" style="118" customWidth="1"/>
    <col min="10" max="16384" width="9.140625" style="118"/>
  </cols>
  <sheetData>
    <row r="1" spans="1:10" ht="32.25" customHeight="1" x14ac:dyDescent="0.2">
      <c r="A1" s="132" t="s">
        <v>334</v>
      </c>
      <c r="B1" s="227"/>
      <c r="D1" s="121"/>
      <c r="G1" s="121"/>
    </row>
    <row r="2" spans="1:10" ht="15" x14ac:dyDescent="0.25">
      <c r="A2" s="287" t="s">
        <v>336</v>
      </c>
      <c r="B2" s="288"/>
      <c r="C2" s="288"/>
      <c r="D2" s="288"/>
      <c r="E2" s="288"/>
      <c r="F2" s="288"/>
      <c r="G2" s="288"/>
      <c r="H2" s="289"/>
    </row>
    <row r="3" spans="1:10" x14ac:dyDescent="0.2">
      <c r="A3" s="133">
        <v>1</v>
      </c>
      <c r="B3" s="290" t="s">
        <v>255</v>
      </c>
      <c r="C3" s="290"/>
      <c r="D3" s="290"/>
      <c r="E3" s="290"/>
      <c r="F3" s="290"/>
      <c r="G3" s="290"/>
      <c r="H3" s="290"/>
    </row>
    <row r="4" spans="1:10" s="198" customFormat="1" x14ac:dyDescent="0.2">
      <c r="A4" s="197">
        <v>2</v>
      </c>
      <c r="B4" s="291" t="s">
        <v>311</v>
      </c>
      <c r="C4" s="291"/>
      <c r="D4" s="291"/>
      <c r="E4" s="291"/>
      <c r="F4" s="291"/>
      <c r="G4" s="291"/>
      <c r="H4" s="291"/>
      <c r="I4" s="148"/>
    </row>
    <row r="5" spans="1:10" x14ac:dyDescent="0.2">
      <c r="A5" s="133">
        <v>3</v>
      </c>
      <c r="B5" s="292" t="s">
        <v>253</v>
      </c>
      <c r="C5" s="292"/>
      <c r="D5" s="292"/>
      <c r="E5" s="292"/>
      <c r="F5" s="292"/>
      <c r="G5" s="292"/>
      <c r="H5" s="292"/>
    </row>
    <row r="6" spans="1:10" x14ac:dyDescent="0.2">
      <c r="A6" s="133">
        <v>4</v>
      </c>
      <c r="B6" s="293" t="s">
        <v>236</v>
      </c>
      <c r="C6" s="293"/>
      <c r="D6" s="293"/>
      <c r="E6" s="293"/>
      <c r="F6" s="293"/>
      <c r="G6" s="293"/>
      <c r="H6" s="293"/>
    </row>
    <row r="8" spans="1:10" x14ac:dyDescent="0.2">
      <c r="A8" s="298" t="s">
        <v>337</v>
      </c>
      <c r="B8" s="299"/>
      <c r="E8" s="296" t="s">
        <v>338</v>
      </c>
      <c r="F8" s="297"/>
      <c r="H8" s="300" t="s">
        <v>339</v>
      </c>
      <c r="I8" s="300"/>
    </row>
    <row r="9" spans="1:10" s="198" customFormat="1" ht="38.25" x14ac:dyDescent="0.2">
      <c r="A9" s="197">
        <v>1</v>
      </c>
      <c r="B9" s="199" t="s">
        <v>312</v>
      </c>
      <c r="C9" s="200"/>
      <c r="E9" s="201">
        <v>1</v>
      </c>
      <c r="F9" s="199" t="s">
        <v>310</v>
      </c>
      <c r="G9" s="200"/>
      <c r="H9" s="201">
        <v>1</v>
      </c>
      <c r="I9" s="199" t="s">
        <v>323</v>
      </c>
      <c r="J9" s="200"/>
    </row>
    <row r="10" spans="1:10" s="198" customFormat="1" ht="38.25" x14ac:dyDescent="0.2">
      <c r="A10" s="197">
        <v>2</v>
      </c>
      <c r="B10" s="202" t="s">
        <v>238</v>
      </c>
      <c r="E10" s="201">
        <v>2</v>
      </c>
      <c r="F10" s="199" t="s">
        <v>254</v>
      </c>
      <c r="H10" s="201">
        <v>2</v>
      </c>
      <c r="I10" s="199" t="s">
        <v>330</v>
      </c>
      <c r="J10" s="200"/>
    </row>
    <row r="11" spans="1:10" s="198" customFormat="1" ht="89.25" x14ac:dyDescent="0.2">
      <c r="A11" s="197">
        <v>3</v>
      </c>
      <c r="B11" s="202" t="s">
        <v>245</v>
      </c>
      <c r="E11" s="201">
        <v>3</v>
      </c>
      <c r="F11" s="199" t="s">
        <v>331</v>
      </c>
      <c r="G11" s="206"/>
      <c r="H11" s="201">
        <v>3</v>
      </c>
      <c r="I11" s="199" t="s">
        <v>340</v>
      </c>
    </row>
    <row r="12" spans="1:10" s="198" customFormat="1" ht="25.5" x14ac:dyDescent="0.2">
      <c r="A12" s="197">
        <v>4</v>
      </c>
      <c r="B12" s="202" t="s">
        <v>256</v>
      </c>
      <c r="E12" s="201">
        <v>4</v>
      </c>
      <c r="F12" s="199" t="s">
        <v>328</v>
      </c>
    </row>
    <row r="13" spans="1:10" s="198" customFormat="1" ht="63.75" x14ac:dyDescent="0.2">
      <c r="A13" s="197">
        <v>5</v>
      </c>
      <c r="B13" s="202" t="s">
        <v>240</v>
      </c>
    </row>
    <row r="14" spans="1:10" s="198" customFormat="1" ht="25.5" x14ac:dyDescent="0.2">
      <c r="A14" s="197">
        <v>6</v>
      </c>
      <c r="B14" s="202" t="s">
        <v>313</v>
      </c>
      <c r="C14" s="200"/>
    </row>
    <row r="15" spans="1:10" s="198" customFormat="1" x14ac:dyDescent="0.2">
      <c r="A15" s="197">
        <v>7</v>
      </c>
      <c r="B15" s="202" t="s">
        <v>242</v>
      </c>
    </row>
    <row r="16" spans="1:10" s="198" customFormat="1" ht="51" x14ac:dyDescent="0.2">
      <c r="A16" s="197">
        <v>8</v>
      </c>
      <c r="B16" s="202" t="s">
        <v>325</v>
      </c>
      <c r="C16" s="200"/>
    </row>
    <row r="17" spans="1:11" s="198" customFormat="1" ht="51" x14ac:dyDescent="0.2">
      <c r="A17" s="197">
        <v>9</v>
      </c>
      <c r="B17" s="202" t="s">
        <v>314</v>
      </c>
      <c r="C17" s="200"/>
    </row>
    <row r="18" spans="1:11" s="198" customFormat="1" ht="25.5" x14ac:dyDescent="0.2">
      <c r="A18" s="197">
        <v>10</v>
      </c>
      <c r="B18" s="202" t="s">
        <v>315</v>
      </c>
      <c r="C18" s="200"/>
    </row>
    <row r="19" spans="1:11" s="198" customFormat="1" ht="25.5" x14ac:dyDescent="0.2">
      <c r="A19" s="197">
        <v>11</v>
      </c>
      <c r="B19" s="202" t="s">
        <v>326</v>
      </c>
      <c r="C19" s="200"/>
    </row>
    <row r="20" spans="1:11" s="198" customFormat="1" ht="25.5" x14ac:dyDescent="0.2">
      <c r="A20" s="197">
        <v>12</v>
      </c>
      <c r="B20" s="202" t="s">
        <v>332</v>
      </c>
      <c r="C20" s="200"/>
    </row>
    <row r="21" spans="1:11" s="198" customFormat="1" x14ac:dyDescent="0.2">
      <c r="A21" s="197">
        <v>13</v>
      </c>
      <c r="B21" s="199" t="s">
        <v>310</v>
      </c>
      <c r="C21" s="200"/>
    </row>
    <row r="22" spans="1:11" s="198" customFormat="1" ht="38.25" x14ac:dyDescent="0.2">
      <c r="A22" s="197">
        <v>14</v>
      </c>
      <c r="B22" s="199" t="s">
        <v>327</v>
      </c>
      <c r="C22" s="200"/>
    </row>
    <row r="23" spans="1:11" s="198" customFormat="1" ht="51" x14ac:dyDescent="0.2">
      <c r="A23" s="212">
        <v>15</v>
      </c>
      <c r="B23" s="213" t="s">
        <v>329</v>
      </c>
      <c r="C23" s="200"/>
    </row>
    <row r="24" spans="1:11" s="198" customFormat="1" x14ac:dyDescent="0.2">
      <c r="A24" s="197">
        <v>16</v>
      </c>
      <c r="B24" s="199" t="s">
        <v>328</v>
      </c>
      <c r="C24" s="200"/>
    </row>
    <row r="25" spans="1:11" s="198" customFormat="1" ht="12" customHeight="1" x14ac:dyDescent="0.2">
      <c r="A25" s="210"/>
      <c r="B25" s="211"/>
      <c r="C25" s="200"/>
    </row>
    <row r="28" spans="1:11" ht="13.5" thickBot="1" x14ac:dyDescent="0.25">
      <c r="B28" s="295" t="s">
        <v>270</v>
      </c>
      <c r="C28" s="295"/>
      <c r="F28" s="295" t="s">
        <v>284</v>
      </c>
      <c r="G28" s="295"/>
      <c r="I28" s="294" t="s">
        <v>335</v>
      </c>
      <c r="J28" s="294"/>
      <c r="K28" s="144"/>
    </row>
    <row r="29" spans="1:11" ht="26.25" thickBot="1" x14ac:dyDescent="0.25">
      <c r="B29" s="139" t="s">
        <v>271</v>
      </c>
      <c r="C29" s="140" t="s">
        <v>272</v>
      </c>
      <c r="F29" s="139" t="s">
        <v>271</v>
      </c>
      <c r="G29" s="140" t="s">
        <v>272</v>
      </c>
      <c r="I29" s="145" t="s">
        <v>271</v>
      </c>
      <c r="J29" s="145" t="s">
        <v>272</v>
      </c>
    </row>
    <row r="30" spans="1:11" ht="15.75" thickBot="1" x14ac:dyDescent="0.25">
      <c r="B30" s="141" t="s">
        <v>234</v>
      </c>
      <c r="C30" s="142" t="s">
        <v>273</v>
      </c>
      <c r="F30" s="141" t="s">
        <v>234</v>
      </c>
      <c r="G30" s="142" t="s">
        <v>307</v>
      </c>
      <c r="H30" s="144"/>
      <c r="I30" s="146" t="s">
        <v>234</v>
      </c>
      <c r="J30" s="146" t="s">
        <v>316</v>
      </c>
    </row>
    <row r="31" spans="1:11" ht="15.75" thickBot="1" x14ac:dyDescent="0.25">
      <c r="B31" s="141" t="s">
        <v>274</v>
      </c>
      <c r="C31" s="142" t="s">
        <v>275</v>
      </c>
      <c r="F31" s="141" t="s">
        <v>274</v>
      </c>
      <c r="G31" s="142" t="s">
        <v>288</v>
      </c>
      <c r="I31" s="146" t="s">
        <v>274</v>
      </c>
      <c r="J31" s="146" t="s">
        <v>317</v>
      </c>
    </row>
    <row r="32" spans="1:11" ht="15.75" thickBot="1" x14ac:dyDescent="0.25">
      <c r="B32" s="141" t="s">
        <v>276</v>
      </c>
      <c r="C32" s="142" t="s">
        <v>289</v>
      </c>
      <c r="F32" s="141" t="s">
        <v>25</v>
      </c>
      <c r="G32" s="142" t="s">
        <v>296</v>
      </c>
      <c r="I32" s="146" t="s">
        <v>25</v>
      </c>
      <c r="J32" s="146" t="s">
        <v>275</v>
      </c>
    </row>
    <row r="33" spans="2:10" ht="15.75" thickBot="1" x14ac:dyDescent="0.25">
      <c r="B33" s="141" t="s">
        <v>277</v>
      </c>
      <c r="C33" s="142" t="s">
        <v>290</v>
      </c>
      <c r="F33" s="141" t="s">
        <v>277</v>
      </c>
      <c r="G33" s="142" t="s">
        <v>297</v>
      </c>
      <c r="I33" s="146" t="s">
        <v>277</v>
      </c>
      <c r="J33" s="146" t="s">
        <v>318</v>
      </c>
    </row>
    <row r="34" spans="2:10" ht="15.75" thickBot="1" x14ac:dyDescent="0.25">
      <c r="B34" s="141" t="s">
        <v>278</v>
      </c>
      <c r="C34" s="142" t="s">
        <v>291</v>
      </c>
      <c r="F34" s="141" t="s">
        <v>285</v>
      </c>
      <c r="G34" s="142" t="s">
        <v>298</v>
      </c>
      <c r="I34" s="146" t="s">
        <v>285</v>
      </c>
      <c r="J34" s="146" t="s">
        <v>319</v>
      </c>
    </row>
    <row r="35" spans="2:10" ht="15.75" thickBot="1" x14ac:dyDescent="0.25">
      <c r="B35" s="141" t="s">
        <v>279</v>
      </c>
      <c r="C35" s="142" t="s">
        <v>292</v>
      </c>
      <c r="F35" s="141" t="s">
        <v>286</v>
      </c>
      <c r="G35" s="142" t="s">
        <v>299</v>
      </c>
      <c r="I35" s="146" t="s">
        <v>286</v>
      </c>
      <c r="J35" s="146" t="s">
        <v>320</v>
      </c>
    </row>
    <row r="36" spans="2:10" ht="15.75" thickBot="1" x14ac:dyDescent="0.25">
      <c r="B36" s="141" t="s">
        <v>280</v>
      </c>
      <c r="C36" s="142" t="s">
        <v>281</v>
      </c>
      <c r="F36" s="141" t="s">
        <v>282</v>
      </c>
      <c r="G36" s="142" t="s">
        <v>300</v>
      </c>
      <c r="I36" s="146" t="s">
        <v>282</v>
      </c>
      <c r="J36" s="146" t="s">
        <v>321</v>
      </c>
    </row>
    <row r="37" spans="2:10" ht="15.75" thickBot="1" x14ac:dyDescent="0.25">
      <c r="B37" s="141" t="s">
        <v>282</v>
      </c>
      <c r="C37" s="142" t="s">
        <v>293</v>
      </c>
      <c r="F37" s="141" t="s">
        <v>283</v>
      </c>
      <c r="G37" s="142" t="s">
        <v>301</v>
      </c>
      <c r="I37" s="146" t="s">
        <v>283</v>
      </c>
      <c r="J37" s="146" t="s">
        <v>322</v>
      </c>
    </row>
    <row r="38" spans="2:10" ht="15.75" thickBot="1" x14ac:dyDescent="0.25">
      <c r="B38" s="141" t="s">
        <v>283</v>
      </c>
      <c r="C38" s="142" t="s">
        <v>294</v>
      </c>
      <c r="F38" s="141" t="s">
        <v>287</v>
      </c>
      <c r="G38" s="142" t="s">
        <v>302</v>
      </c>
      <c r="H38" s="147"/>
      <c r="I38" s="146" t="s">
        <v>287</v>
      </c>
      <c r="J38" s="146" t="s">
        <v>288</v>
      </c>
    </row>
    <row r="39" spans="2:10" x14ac:dyDescent="0.2">
      <c r="F39" s="147"/>
      <c r="G39" s="147"/>
      <c r="H39" s="147"/>
      <c r="I39" s="147"/>
      <c r="J39" s="147"/>
    </row>
  </sheetData>
  <mergeCells count="11">
    <mergeCell ref="I28:J28"/>
    <mergeCell ref="B28:C28"/>
    <mergeCell ref="F28:G28"/>
    <mergeCell ref="E8:F8"/>
    <mergeCell ref="A8:B8"/>
    <mergeCell ref="H8:I8"/>
    <mergeCell ref="A2:H2"/>
    <mergeCell ref="B3:H3"/>
    <mergeCell ref="B4:H4"/>
    <mergeCell ref="B5:H5"/>
    <mergeCell ref="B6:H6"/>
  </mergeCells>
  <pageMargins left="0.25" right="0.25" top="0.75" bottom="0.75" header="0.3" footer="0.3"/>
  <pageSetup paperSize="8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AA75"/>
  <sheetViews>
    <sheetView showGridLines="0" topLeftCell="A46" zoomScale="85" zoomScaleNormal="85" workbookViewId="0">
      <selection activeCell="I88" sqref="I88"/>
    </sheetView>
  </sheetViews>
  <sheetFormatPr defaultColWidth="9.140625" defaultRowHeight="12.75" outlineLevelRow="1" x14ac:dyDescent="0.2"/>
  <cols>
    <col min="1" max="1" width="4.28515625" style="28" customWidth="1"/>
    <col min="2" max="2" width="6.85546875" style="27" customWidth="1"/>
    <col min="3" max="3" width="36.28515625" style="19" customWidth="1"/>
    <col min="4" max="4" width="11.85546875" style="19" customWidth="1"/>
    <col min="5" max="5" width="11.7109375" style="19" customWidth="1"/>
    <col min="6" max="6" width="8" style="20" customWidth="1"/>
    <col min="7" max="7" width="9.5703125" style="21" customWidth="1"/>
    <col min="8" max="8" width="9.42578125" style="21" customWidth="1"/>
    <col min="9" max="9" width="10" style="21" customWidth="1"/>
    <col min="10" max="10" width="9.140625" style="21" customWidth="1"/>
    <col min="11" max="11" width="8.7109375" style="21" customWidth="1"/>
    <col min="12" max="12" width="8.85546875" style="21" customWidth="1"/>
    <col min="13" max="15" width="8.5703125" style="21" customWidth="1"/>
    <col min="16" max="16" width="9" style="21" customWidth="1"/>
    <col min="17" max="17" width="9.140625" style="21" customWidth="1"/>
    <col min="18" max="18" width="13.5703125" style="21" customWidth="1"/>
    <col min="19" max="19" width="11.140625" style="21" customWidth="1"/>
    <col min="20" max="20" width="11.28515625" style="21" customWidth="1"/>
    <col min="21" max="21" width="11" style="21" customWidth="1"/>
    <col min="22" max="23" width="10.28515625" style="21" customWidth="1"/>
    <col min="24" max="24" width="9.5703125" style="21" customWidth="1"/>
    <col min="25" max="25" width="11.42578125" style="21" customWidth="1"/>
    <col min="26" max="26" width="10.42578125" style="21" customWidth="1"/>
    <col min="27" max="27" width="51.28515625" style="5" customWidth="1"/>
    <col min="28" max="16384" width="9.140625" style="5"/>
  </cols>
  <sheetData>
    <row r="1" spans="1:26" x14ac:dyDescent="0.2">
      <c r="A1" s="1"/>
      <c r="B1" s="2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5" t="s">
        <v>9</v>
      </c>
      <c r="S1" s="4"/>
      <c r="T1" s="4"/>
      <c r="U1" s="3"/>
      <c r="V1" s="3"/>
      <c r="W1" s="3"/>
      <c r="X1" s="3"/>
      <c r="Y1" s="3"/>
      <c r="Z1" s="3"/>
    </row>
    <row r="2" spans="1:26" x14ac:dyDescent="0.2">
      <c r="A2" s="1"/>
      <c r="B2" s="24"/>
      <c r="C2" s="3"/>
      <c r="D2" s="3"/>
      <c r="E2" s="3"/>
      <c r="F2" s="3"/>
      <c r="G2" s="3"/>
      <c r="H2" s="3"/>
      <c r="I2" s="6"/>
      <c r="J2" s="4"/>
      <c r="K2" s="3"/>
      <c r="L2" s="3"/>
      <c r="M2" s="3"/>
      <c r="N2" s="3"/>
      <c r="O2" s="3"/>
      <c r="P2" s="3"/>
      <c r="Q2" s="3"/>
      <c r="R2" s="5" t="s">
        <v>10</v>
      </c>
      <c r="S2" s="4"/>
      <c r="T2" s="4"/>
      <c r="U2" s="3"/>
      <c r="V2" s="3"/>
      <c r="W2" s="3"/>
      <c r="X2" s="3"/>
      <c r="Y2" s="3"/>
      <c r="Z2" s="3"/>
    </row>
    <row r="3" spans="1:26" x14ac:dyDescent="0.2">
      <c r="A3" s="1"/>
      <c r="B3" s="2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5" t="s">
        <v>11</v>
      </c>
      <c r="S3" s="4"/>
      <c r="T3" s="4"/>
      <c r="U3" s="3"/>
      <c r="V3" s="3"/>
      <c r="W3" s="3"/>
      <c r="X3" s="3"/>
      <c r="Y3" s="3"/>
      <c r="Z3" s="3"/>
    </row>
    <row r="4" spans="1:26" s="8" customFormat="1" x14ac:dyDescent="0.2">
      <c r="A4" s="1"/>
      <c r="B4" s="25"/>
      <c r="F4" s="9"/>
      <c r="G4" s="10"/>
      <c r="H4" s="10"/>
      <c r="I4" s="10"/>
      <c r="J4" s="10"/>
      <c r="K4" s="10"/>
      <c r="L4" s="3"/>
      <c r="M4" s="3"/>
      <c r="N4" s="3"/>
      <c r="O4" s="3"/>
      <c r="P4" s="3"/>
      <c r="Q4" s="3"/>
      <c r="R4" s="3"/>
      <c r="S4" s="10"/>
      <c r="T4" s="326" t="s">
        <v>12</v>
      </c>
      <c r="U4" s="326"/>
      <c r="V4" s="24"/>
      <c r="W4" s="24"/>
      <c r="X4" s="24"/>
      <c r="Y4" s="24"/>
      <c r="Z4" s="24"/>
    </row>
    <row r="5" spans="1:26" s="8" customFormat="1" x14ac:dyDescent="0.2">
      <c r="A5" s="1"/>
      <c r="B5" s="25"/>
      <c r="F5" s="9"/>
      <c r="G5" s="10"/>
      <c r="H5" s="10"/>
      <c r="I5" s="10"/>
      <c r="J5" s="10"/>
      <c r="K5" s="4"/>
      <c r="L5" s="10"/>
      <c r="M5" s="10"/>
      <c r="N5" s="10"/>
      <c r="O5" s="10"/>
      <c r="P5" s="10"/>
      <c r="Q5" s="10"/>
      <c r="R5" s="10"/>
      <c r="S5" s="10" t="s">
        <v>13</v>
      </c>
      <c r="T5" s="326" t="s">
        <v>32</v>
      </c>
      <c r="U5" s="326"/>
      <c r="V5" s="24"/>
      <c r="W5" s="24"/>
      <c r="X5" s="24"/>
      <c r="Y5" s="24"/>
      <c r="Z5" s="24"/>
    </row>
    <row r="6" spans="1:26" s="8" customFormat="1" x14ac:dyDescent="0.2">
      <c r="A6" s="1"/>
      <c r="B6" s="257" t="s">
        <v>0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10" t="s">
        <v>14</v>
      </c>
      <c r="T6" s="326"/>
      <c r="U6" s="326"/>
      <c r="V6" s="24"/>
      <c r="W6" s="24"/>
      <c r="X6" s="24"/>
      <c r="Y6" s="24"/>
      <c r="Z6" s="24"/>
    </row>
    <row r="7" spans="1:26" s="8" customFormat="1" x14ac:dyDescent="0.2">
      <c r="A7" s="1"/>
      <c r="B7" s="257" t="s">
        <v>95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10" t="s">
        <v>14</v>
      </c>
      <c r="T7" s="326"/>
      <c r="U7" s="326"/>
      <c r="V7" s="24"/>
      <c r="W7" s="24"/>
      <c r="X7" s="24"/>
      <c r="Y7" s="24"/>
      <c r="Z7" s="24"/>
    </row>
    <row r="8" spans="1:26" s="8" customFormat="1" x14ac:dyDescent="0.2">
      <c r="A8" s="1"/>
      <c r="B8" s="257" t="s">
        <v>96</v>
      </c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10" t="s">
        <v>14</v>
      </c>
      <c r="T8" s="326"/>
      <c r="U8" s="326"/>
      <c r="V8" s="24"/>
      <c r="W8" s="24"/>
      <c r="X8" s="24"/>
      <c r="Y8" s="24"/>
      <c r="Z8" s="24"/>
    </row>
    <row r="9" spans="1:26" s="8" customFormat="1" x14ac:dyDescent="0.2">
      <c r="A9" s="1"/>
      <c r="B9" s="258" t="s">
        <v>37</v>
      </c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3" t="s">
        <v>31</v>
      </c>
      <c r="T9" s="326"/>
      <c r="U9" s="326"/>
      <c r="V9" s="24"/>
      <c r="W9" s="24"/>
      <c r="X9" s="24"/>
      <c r="Y9" s="24"/>
      <c r="Z9" s="24"/>
    </row>
    <row r="10" spans="1:26" s="8" customFormat="1" x14ac:dyDescent="0.2">
      <c r="A10" s="1"/>
      <c r="B10" s="11" t="s">
        <v>97</v>
      </c>
      <c r="F10" s="9"/>
      <c r="G10" s="10"/>
      <c r="H10" s="10"/>
      <c r="I10" s="10"/>
      <c r="J10" s="10"/>
      <c r="K10" s="1"/>
      <c r="L10" s="3"/>
      <c r="M10" s="3"/>
      <c r="N10" s="3"/>
      <c r="O10" s="3"/>
      <c r="P10" s="3"/>
      <c r="Q10" s="3"/>
      <c r="R10" s="3"/>
      <c r="S10" s="3" t="s">
        <v>31</v>
      </c>
      <c r="T10" s="326"/>
      <c r="U10" s="326"/>
      <c r="V10" s="24"/>
      <c r="W10" s="24"/>
      <c r="X10" s="24"/>
      <c r="Y10" s="24"/>
      <c r="Z10" s="24"/>
    </row>
    <row r="11" spans="1:26" s="8" customFormat="1" x14ac:dyDescent="0.2">
      <c r="A11" s="1"/>
      <c r="B11" s="24"/>
      <c r="F11" s="9"/>
      <c r="G11" s="10"/>
      <c r="H11" s="10"/>
      <c r="I11" s="10"/>
      <c r="J11" s="10"/>
      <c r="K11" s="1"/>
      <c r="L11" s="3"/>
      <c r="M11" s="3"/>
      <c r="N11" s="3"/>
      <c r="O11" s="3"/>
      <c r="P11" s="3"/>
      <c r="Q11" s="3"/>
      <c r="R11" s="3"/>
      <c r="S11" s="10" t="s">
        <v>15</v>
      </c>
      <c r="T11" s="326"/>
      <c r="U11" s="326"/>
      <c r="V11" s="24"/>
      <c r="W11" s="24"/>
      <c r="X11" s="24"/>
      <c r="Y11" s="24"/>
      <c r="Z11" s="24"/>
    </row>
    <row r="12" spans="1:26" s="8" customFormat="1" x14ac:dyDescent="0.2">
      <c r="A12" s="1"/>
      <c r="B12" s="24"/>
      <c r="F12" s="9"/>
      <c r="G12" s="10"/>
      <c r="H12" s="10"/>
      <c r="I12" s="10"/>
      <c r="J12" s="3"/>
      <c r="K12" s="4"/>
      <c r="R12" s="10" t="s">
        <v>18</v>
      </c>
      <c r="S12" s="12" t="s">
        <v>16</v>
      </c>
      <c r="T12" s="326" t="s">
        <v>98</v>
      </c>
      <c r="U12" s="326"/>
      <c r="V12" s="24"/>
      <c r="W12" s="24"/>
      <c r="X12" s="24"/>
      <c r="Y12" s="24"/>
      <c r="Z12" s="24"/>
    </row>
    <row r="13" spans="1:26" s="8" customFormat="1" x14ac:dyDescent="0.2">
      <c r="A13" s="1"/>
      <c r="B13" s="24"/>
      <c r="F13" s="9"/>
      <c r="G13" s="10"/>
      <c r="H13" s="10"/>
      <c r="I13" s="10"/>
      <c r="J13" s="10"/>
      <c r="K13" s="4"/>
      <c r="S13" s="12" t="s">
        <v>17</v>
      </c>
      <c r="T13" s="326" t="s">
        <v>39</v>
      </c>
      <c r="U13" s="326"/>
      <c r="V13" s="24"/>
      <c r="W13" s="24"/>
      <c r="X13" s="24"/>
      <c r="Y13" s="24"/>
      <c r="Z13" s="24"/>
    </row>
    <row r="14" spans="1:26" s="8" customFormat="1" x14ac:dyDescent="0.2">
      <c r="A14" s="1"/>
      <c r="B14" s="24"/>
      <c r="F14" s="9"/>
      <c r="G14" s="1"/>
      <c r="H14" s="1"/>
      <c r="I14" s="10"/>
      <c r="J14" s="10"/>
      <c r="K14" s="4"/>
      <c r="L14" s="10"/>
      <c r="M14" s="10"/>
      <c r="N14" s="10"/>
      <c r="O14" s="10"/>
      <c r="P14" s="10"/>
      <c r="Q14" s="10"/>
      <c r="R14" s="10"/>
      <c r="S14" s="10" t="s">
        <v>19</v>
      </c>
      <c r="T14" s="326"/>
      <c r="U14" s="326"/>
      <c r="V14" s="24"/>
      <c r="W14" s="24"/>
      <c r="X14" s="24"/>
      <c r="Y14" s="24"/>
      <c r="Z14" s="24"/>
    </row>
    <row r="15" spans="1:26" x14ac:dyDescent="0.2">
      <c r="A15" s="1"/>
      <c r="B15" s="24"/>
      <c r="C15" s="8"/>
      <c r="D15" s="8"/>
      <c r="E15" s="8"/>
      <c r="F15" s="9"/>
      <c r="G15" s="1"/>
      <c r="H15" s="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customHeight="1" x14ac:dyDescent="0.2">
      <c r="A16" s="1"/>
      <c r="B16" s="24"/>
      <c r="C16" s="8"/>
      <c r="D16" s="8"/>
      <c r="E16" s="8"/>
      <c r="F16" s="9"/>
      <c r="G16" s="1"/>
      <c r="H16" s="1"/>
      <c r="I16" s="10"/>
      <c r="J16" s="10"/>
      <c r="N16" s="327" t="s">
        <v>25</v>
      </c>
      <c r="O16" s="328"/>
      <c r="P16" s="327" t="s">
        <v>24</v>
      </c>
      <c r="Q16" s="328"/>
      <c r="R16" s="336" t="s">
        <v>20</v>
      </c>
      <c r="S16" s="336"/>
      <c r="T16" s="336"/>
      <c r="U16" s="336"/>
      <c r="V16" s="26"/>
      <c r="W16" s="26"/>
      <c r="X16" s="26"/>
      <c r="Y16" s="22"/>
      <c r="Z16" s="22"/>
    </row>
    <row r="17" spans="1:27" x14ac:dyDescent="0.2">
      <c r="A17" s="1"/>
      <c r="B17" s="24"/>
      <c r="C17" s="8"/>
      <c r="D17" s="8"/>
      <c r="E17" s="8"/>
      <c r="F17" s="9"/>
      <c r="G17" s="1"/>
      <c r="H17" s="1"/>
      <c r="I17" s="10"/>
      <c r="J17" s="10"/>
      <c r="N17" s="329"/>
      <c r="O17" s="330"/>
      <c r="P17" s="329"/>
      <c r="Q17" s="330"/>
      <c r="R17" s="283" t="s">
        <v>21</v>
      </c>
      <c r="S17" s="284"/>
      <c r="T17" s="283" t="s">
        <v>22</v>
      </c>
      <c r="U17" s="284"/>
      <c r="V17" s="22"/>
      <c r="W17" s="22"/>
      <c r="X17" s="22"/>
      <c r="Y17" s="22"/>
      <c r="Z17" s="22"/>
    </row>
    <row r="18" spans="1:27" x14ac:dyDescent="0.2">
      <c r="A18" s="1"/>
      <c r="B18" s="24"/>
      <c r="C18" s="8"/>
      <c r="D18" s="8"/>
      <c r="E18" s="8"/>
      <c r="F18" s="9"/>
      <c r="G18" s="1"/>
      <c r="H18" s="1"/>
      <c r="I18" s="10"/>
      <c r="J18" s="10"/>
      <c r="N18" s="261">
        <v>1</v>
      </c>
      <c r="O18" s="262"/>
      <c r="P18" s="261" t="s">
        <v>38</v>
      </c>
      <c r="Q18" s="262"/>
      <c r="R18" s="261" t="s">
        <v>39</v>
      </c>
      <c r="S18" s="262"/>
      <c r="T18" s="261" t="s">
        <v>40</v>
      </c>
      <c r="U18" s="262"/>
      <c r="V18" s="26"/>
      <c r="W18" s="26"/>
      <c r="X18" s="26"/>
      <c r="Y18" s="26"/>
      <c r="Z18" s="26"/>
    </row>
    <row r="19" spans="1:27" x14ac:dyDescent="0.2">
      <c r="A19" s="13"/>
      <c r="B19" s="26"/>
      <c r="C19" s="5"/>
      <c r="D19" s="5"/>
      <c r="E19" s="5"/>
      <c r="F19" s="15"/>
      <c r="G19" s="13"/>
      <c r="H19" s="13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5"/>
      <c r="V19" s="15"/>
      <c r="W19" s="15"/>
      <c r="X19" s="15"/>
      <c r="Y19" s="15"/>
      <c r="Z19" s="15"/>
    </row>
    <row r="20" spans="1:27" x14ac:dyDescent="0.2">
      <c r="A20" s="13"/>
      <c r="B20" s="26"/>
      <c r="C20" s="15"/>
      <c r="D20" s="15"/>
      <c r="E20" s="15"/>
      <c r="F20" s="13"/>
      <c r="G20" s="16"/>
      <c r="H20" s="16"/>
      <c r="I20" s="13" t="s">
        <v>23</v>
      </c>
      <c r="J20" s="16"/>
      <c r="K20" s="16"/>
      <c r="L20" s="16"/>
      <c r="M20" s="16"/>
      <c r="N20" s="16"/>
      <c r="O20" s="16"/>
      <c r="P20" s="16"/>
      <c r="Q20" s="16"/>
      <c r="R20" s="23"/>
      <c r="S20" s="16"/>
      <c r="T20" s="16"/>
      <c r="U20" s="15"/>
      <c r="V20" s="15"/>
      <c r="W20" s="15"/>
      <c r="X20" s="15"/>
      <c r="Y20" s="15"/>
      <c r="Z20" s="15"/>
    </row>
    <row r="21" spans="1:27" x14ac:dyDescent="0.2">
      <c r="A21" s="13"/>
      <c r="B21" s="26"/>
      <c r="C21" s="15"/>
      <c r="D21" s="15"/>
      <c r="E21" s="15"/>
      <c r="F21" s="13"/>
      <c r="G21" s="16"/>
      <c r="H21" s="16"/>
      <c r="I21" s="13" t="s">
        <v>41</v>
      </c>
      <c r="J21" s="16"/>
      <c r="K21" s="16"/>
      <c r="L21" s="16"/>
      <c r="M21" s="16"/>
      <c r="N21" s="16"/>
      <c r="O21" s="16"/>
      <c r="P21" s="16"/>
      <c r="Q21" s="16"/>
      <c r="R21" s="23"/>
      <c r="S21" s="16"/>
      <c r="T21" s="16"/>
      <c r="U21" s="15"/>
      <c r="V21" s="15"/>
      <c r="W21" s="15"/>
      <c r="X21" s="15"/>
      <c r="Y21" s="15"/>
      <c r="Z21" s="15"/>
    </row>
    <row r="22" spans="1:27" x14ac:dyDescent="0.2">
      <c r="A22" s="13"/>
      <c r="B22" s="26"/>
      <c r="C22" s="15"/>
      <c r="D22" s="15"/>
      <c r="E22" s="15"/>
      <c r="F22" s="13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23"/>
      <c r="S22" s="16"/>
      <c r="T22" s="16"/>
      <c r="U22" s="15"/>
      <c r="V22" s="15"/>
      <c r="W22" s="15"/>
      <c r="X22" s="15"/>
      <c r="Y22" s="15"/>
      <c r="Z22" s="15"/>
    </row>
    <row r="23" spans="1:27" s="43" customFormat="1" ht="12" x14ac:dyDescent="0.2">
      <c r="A23" s="325" t="s">
        <v>34</v>
      </c>
      <c r="B23" s="337"/>
      <c r="C23" s="321" t="s">
        <v>1</v>
      </c>
      <c r="D23" s="325" t="s">
        <v>33</v>
      </c>
      <c r="E23" s="324" t="s">
        <v>99</v>
      </c>
      <c r="F23" s="321" t="s">
        <v>2</v>
      </c>
      <c r="G23" s="331" t="s">
        <v>3</v>
      </c>
      <c r="H23" s="332"/>
      <c r="I23" s="321" t="s">
        <v>27</v>
      </c>
      <c r="J23" s="321"/>
      <c r="K23" s="321"/>
      <c r="L23" s="321"/>
      <c r="M23" s="321"/>
      <c r="N23" s="321"/>
      <c r="O23" s="321"/>
      <c r="P23" s="321"/>
      <c r="Q23" s="321"/>
      <c r="R23" s="321" t="s">
        <v>28</v>
      </c>
      <c r="S23" s="321"/>
      <c r="T23" s="321"/>
      <c r="U23" s="321"/>
      <c r="V23" s="321"/>
      <c r="W23" s="321"/>
      <c r="X23" s="321"/>
      <c r="Y23" s="321"/>
      <c r="Z23" s="321"/>
    </row>
    <row r="24" spans="1:27" s="43" customFormat="1" ht="12" x14ac:dyDescent="0.2">
      <c r="A24" s="319" t="s">
        <v>35</v>
      </c>
      <c r="B24" s="320" t="s">
        <v>36</v>
      </c>
      <c r="C24" s="321"/>
      <c r="D24" s="325"/>
      <c r="E24" s="324"/>
      <c r="F24" s="321"/>
      <c r="G24" s="333"/>
      <c r="H24" s="334"/>
      <c r="I24" s="321" t="s">
        <v>4</v>
      </c>
      <c r="J24" s="321" t="s">
        <v>5</v>
      </c>
      <c r="K24" s="321"/>
      <c r="L24" s="321"/>
      <c r="M24" s="321"/>
      <c r="N24" s="321"/>
      <c r="O24" s="321"/>
      <c r="P24" s="321"/>
      <c r="Q24" s="321"/>
      <c r="R24" s="321" t="s">
        <v>4</v>
      </c>
      <c r="S24" s="321" t="s">
        <v>5</v>
      </c>
      <c r="T24" s="321"/>
      <c r="U24" s="321"/>
      <c r="V24" s="321"/>
      <c r="W24" s="321"/>
      <c r="X24" s="321"/>
      <c r="Y24" s="321"/>
      <c r="Z24" s="321"/>
    </row>
    <row r="25" spans="1:27" s="43" customFormat="1" ht="12" x14ac:dyDescent="0.2">
      <c r="A25" s="319"/>
      <c r="B25" s="320"/>
      <c r="C25" s="321"/>
      <c r="D25" s="325"/>
      <c r="E25" s="324"/>
      <c r="F25" s="321"/>
      <c r="G25" s="322" t="s">
        <v>128</v>
      </c>
      <c r="H25" s="322" t="s">
        <v>129</v>
      </c>
      <c r="I25" s="321"/>
      <c r="J25" s="321" t="s">
        <v>6</v>
      </c>
      <c r="K25" s="321" t="s">
        <v>8</v>
      </c>
      <c r="L25" s="321" t="s">
        <v>7</v>
      </c>
      <c r="M25" s="321" t="s">
        <v>126</v>
      </c>
      <c r="N25" s="321" t="s">
        <v>127</v>
      </c>
      <c r="O25" s="321" t="s">
        <v>130</v>
      </c>
      <c r="P25" s="321" t="s">
        <v>116</v>
      </c>
      <c r="Q25" s="321" t="s">
        <v>115</v>
      </c>
      <c r="R25" s="321"/>
      <c r="S25" s="321" t="s">
        <v>6</v>
      </c>
      <c r="T25" s="321" t="s">
        <v>8</v>
      </c>
      <c r="U25" s="321" t="s">
        <v>7</v>
      </c>
      <c r="V25" s="321" t="s">
        <v>126</v>
      </c>
      <c r="W25" s="321" t="s">
        <v>127</v>
      </c>
      <c r="X25" s="321" t="s">
        <v>130</v>
      </c>
      <c r="Y25" s="321" t="s">
        <v>116</v>
      </c>
      <c r="Z25" s="321" t="s">
        <v>115</v>
      </c>
    </row>
    <row r="26" spans="1:27" s="43" customFormat="1" ht="12" x14ac:dyDescent="0.2">
      <c r="A26" s="319"/>
      <c r="B26" s="320"/>
      <c r="C26" s="321"/>
      <c r="D26" s="325"/>
      <c r="E26" s="324"/>
      <c r="F26" s="321"/>
      <c r="G26" s="323"/>
      <c r="H26" s="323"/>
      <c r="I26" s="321"/>
      <c r="J26" s="321"/>
      <c r="K26" s="321"/>
      <c r="L26" s="321"/>
      <c r="M26" s="321"/>
      <c r="N26" s="321"/>
      <c r="O26" s="321"/>
      <c r="P26" s="321"/>
      <c r="Q26" s="321"/>
      <c r="R26" s="321"/>
      <c r="S26" s="321"/>
      <c r="T26" s="321"/>
      <c r="U26" s="321"/>
      <c r="V26" s="321"/>
      <c r="W26" s="321"/>
      <c r="X26" s="321"/>
      <c r="Y26" s="321"/>
      <c r="Z26" s="321"/>
    </row>
    <row r="27" spans="1:27" s="43" customFormat="1" ht="12" x14ac:dyDescent="0.2">
      <c r="A27" s="44">
        <v>1</v>
      </c>
      <c r="B27" s="45">
        <v>2</v>
      </c>
      <c r="C27" s="44">
        <v>3</v>
      </c>
      <c r="D27" s="44">
        <v>4</v>
      </c>
      <c r="E27" s="44">
        <v>5</v>
      </c>
      <c r="F27" s="44">
        <v>6</v>
      </c>
      <c r="G27" s="44">
        <v>7</v>
      </c>
      <c r="H27" s="44">
        <v>8</v>
      </c>
      <c r="I27" s="44">
        <v>9</v>
      </c>
      <c r="J27" s="44">
        <v>10</v>
      </c>
      <c r="K27" s="44">
        <v>11</v>
      </c>
      <c r="L27" s="44">
        <v>12</v>
      </c>
      <c r="M27" s="44">
        <v>13</v>
      </c>
      <c r="N27" s="44">
        <v>14</v>
      </c>
      <c r="O27" s="44">
        <v>15</v>
      </c>
      <c r="P27" s="44">
        <v>16</v>
      </c>
      <c r="Q27" s="44">
        <v>17</v>
      </c>
      <c r="R27" s="44">
        <v>18</v>
      </c>
      <c r="S27" s="44">
        <v>19</v>
      </c>
      <c r="T27" s="44">
        <v>20</v>
      </c>
      <c r="U27" s="44">
        <v>21</v>
      </c>
      <c r="V27" s="44">
        <v>22</v>
      </c>
      <c r="W27" s="44">
        <v>23</v>
      </c>
      <c r="X27" s="44">
        <v>24</v>
      </c>
      <c r="Y27" s="44">
        <v>25</v>
      </c>
      <c r="Z27" s="44">
        <v>26</v>
      </c>
    </row>
    <row r="28" spans="1:27" s="43" customFormat="1" ht="12" x14ac:dyDescent="0.2">
      <c r="A28" s="42" t="s">
        <v>51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7"/>
      <c r="W28" s="47"/>
      <c r="X28" s="47"/>
      <c r="Y28" s="47"/>
      <c r="Z28" s="47"/>
    </row>
    <row r="29" spans="1:27" s="43" customFormat="1" ht="12" x14ac:dyDescent="0.2">
      <c r="A29" s="48" t="s">
        <v>52</v>
      </c>
      <c r="B29" s="46"/>
      <c r="C29" s="46"/>
      <c r="D29" s="46"/>
      <c r="E29" s="46"/>
      <c r="F29" s="46"/>
      <c r="G29" s="64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9"/>
      <c r="W29" s="49"/>
      <c r="X29" s="47"/>
      <c r="Y29" s="47"/>
      <c r="Z29" s="47"/>
    </row>
    <row r="30" spans="1:27" s="43" customFormat="1" ht="36" x14ac:dyDescent="0.2">
      <c r="A30" s="50">
        <v>1</v>
      </c>
      <c r="B30" s="51" t="s">
        <v>100</v>
      </c>
      <c r="C30" s="52" t="s">
        <v>109</v>
      </c>
      <c r="D30" s="53" t="s">
        <v>108</v>
      </c>
      <c r="E30" s="52"/>
      <c r="F30" s="54" t="s">
        <v>169</v>
      </c>
      <c r="G30" s="55" t="s">
        <v>170</v>
      </c>
      <c r="H30" s="39">
        <v>26.588000000000001</v>
      </c>
      <c r="I30" s="56">
        <f>I31+I32+I33+I34+I35+I36</f>
        <v>65291.81</v>
      </c>
      <c r="J30" s="54"/>
      <c r="K30" s="54"/>
      <c r="L30" s="54"/>
      <c r="M30" s="54"/>
      <c r="N30" s="54"/>
      <c r="O30" s="54"/>
      <c r="P30" s="54"/>
      <c r="Q30" s="54"/>
      <c r="R30" s="56">
        <f>26.588*I30</f>
        <v>1735978.64</v>
      </c>
      <c r="S30" s="52"/>
      <c r="T30" s="52"/>
      <c r="U30" s="52"/>
      <c r="V30" s="52"/>
      <c r="W30" s="52"/>
      <c r="X30" s="52"/>
      <c r="Y30" s="52"/>
      <c r="Z30" s="52"/>
    </row>
    <row r="31" spans="1:27" s="40" customFormat="1" ht="54" outlineLevel="1" x14ac:dyDescent="0.2">
      <c r="A31" s="65"/>
      <c r="B31" s="66" t="s">
        <v>101</v>
      </c>
      <c r="C31" s="67" t="s">
        <v>147</v>
      </c>
      <c r="D31" s="68" t="str">
        <f>D30</f>
        <v>УЕР 01-001-01</v>
      </c>
      <c r="E31" s="68" t="s">
        <v>110</v>
      </c>
      <c r="F31" s="69" t="s">
        <v>111</v>
      </c>
      <c r="G31" s="70" t="s">
        <v>170</v>
      </c>
      <c r="H31" s="70">
        <v>26.588000000000001</v>
      </c>
      <c r="I31" s="71">
        <f>J31+K31+M31+N31+O31+P31+Q31</f>
        <v>49810.66</v>
      </c>
      <c r="J31" s="72">
        <v>3268.85</v>
      </c>
      <c r="K31" s="72">
        <v>23961.599999999999</v>
      </c>
      <c r="L31" s="72">
        <v>12270.76</v>
      </c>
      <c r="M31" s="72">
        <v>0</v>
      </c>
      <c r="N31" s="72">
        <v>0</v>
      </c>
      <c r="O31" s="72">
        <v>0</v>
      </c>
      <c r="P31" s="72">
        <v>14785.26</v>
      </c>
      <c r="Q31" s="72">
        <v>7794.95</v>
      </c>
      <c r="R31" s="72">
        <f>S31+T31+V31+W31+X31+Y31+Z31</f>
        <v>1324365.82</v>
      </c>
      <c r="S31" s="72">
        <f>J31*$H$31</f>
        <v>86912.18</v>
      </c>
      <c r="T31" s="72">
        <f>K31*$H$31</f>
        <v>637091.02</v>
      </c>
      <c r="U31" s="72">
        <f>L31*$H$31</f>
        <v>326254.96999999997</v>
      </c>
      <c r="V31" s="72">
        <f t="shared" ref="V31:X31" si="0">M31*$H$31</f>
        <v>0</v>
      </c>
      <c r="W31" s="72">
        <f t="shared" si="0"/>
        <v>0</v>
      </c>
      <c r="X31" s="72">
        <f t="shared" si="0"/>
        <v>0</v>
      </c>
      <c r="Y31" s="72">
        <f t="shared" ref="Y31:Z31" si="1">P31*$H$31</f>
        <v>393110.49</v>
      </c>
      <c r="Z31" s="72">
        <f t="shared" si="1"/>
        <v>207252.13</v>
      </c>
      <c r="AA31" s="41" t="s">
        <v>114</v>
      </c>
    </row>
    <row r="32" spans="1:27" s="40" customFormat="1" ht="18" outlineLevel="1" x14ac:dyDescent="0.2">
      <c r="A32" s="65"/>
      <c r="B32" s="66" t="s">
        <v>120</v>
      </c>
      <c r="C32" s="67" t="s">
        <v>107</v>
      </c>
      <c r="D32" s="68" t="str">
        <f>D31</f>
        <v>УЕР 01-001-01</v>
      </c>
      <c r="E32" s="73"/>
      <c r="F32" s="74"/>
      <c r="G32" s="75">
        <v>0.31080000000000002</v>
      </c>
      <c r="H32" s="76">
        <f>G32</f>
        <v>0.31080000000000002</v>
      </c>
      <c r="I32" s="71">
        <f>I31*H32</f>
        <v>15481.15</v>
      </c>
      <c r="J32" s="77"/>
      <c r="K32" s="77"/>
      <c r="L32" s="77"/>
      <c r="M32" s="77"/>
      <c r="N32" s="77"/>
      <c r="O32" s="77"/>
      <c r="P32" s="77"/>
      <c r="Q32" s="77"/>
      <c r="R32" s="78">
        <f>R31*H32</f>
        <v>411612.9</v>
      </c>
      <c r="S32" s="77"/>
      <c r="T32" s="77"/>
      <c r="U32" s="77"/>
      <c r="V32" s="77"/>
      <c r="W32" s="77"/>
      <c r="X32" s="77"/>
      <c r="Y32" s="77"/>
      <c r="Z32" s="77"/>
    </row>
    <row r="33" spans="1:27" s="40" customFormat="1" ht="11.25" outlineLevel="1" x14ac:dyDescent="0.2">
      <c r="A33" s="65"/>
      <c r="B33" s="66" t="s">
        <v>121</v>
      </c>
      <c r="C33" s="67" t="s">
        <v>103</v>
      </c>
      <c r="D33" s="68" t="str">
        <f t="shared" ref="D33:D36" si="2">D32</f>
        <v>УЕР 01-001-01</v>
      </c>
      <c r="E33" s="73"/>
      <c r="F33" s="74"/>
      <c r="G33" s="79">
        <v>1</v>
      </c>
      <c r="H33" s="79"/>
      <c r="I33" s="71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335" t="s">
        <v>119</v>
      </c>
    </row>
    <row r="34" spans="1:27" s="40" customFormat="1" ht="11.25" outlineLevel="1" x14ac:dyDescent="0.2">
      <c r="A34" s="65"/>
      <c r="B34" s="66" t="s">
        <v>102</v>
      </c>
      <c r="C34" s="67" t="s">
        <v>104</v>
      </c>
      <c r="D34" s="68" t="str">
        <f t="shared" si="2"/>
        <v>УЕР 01-001-01</v>
      </c>
      <c r="E34" s="73"/>
      <c r="F34" s="74"/>
      <c r="G34" s="79">
        <f>G33*1.05</f>
        <v>1.05</v>
      </c>
      <c r="H34" s="79"/>
      <c r="I34" s="71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335"/>
    </row>
    <row r="35" spans="1:27" s="40" customFormat="1" ht="11.25" outlineLevel="1" x14ac:dyDescent="0.2">
      <c r="A35" s="65"/>
      <c r="B35" s="66" t="s">
        <v>112</v>
      </c>
      <c r="C35" s="67" t="s">
        <v>105</v>
      </c>
      <c r="D35" s="68" t="str">
        <f t="shared" si="2"/>
        <v>УЕР 01-001-01</v>
      </c>
      <c r="E35" s="73"/>
      <c r="F35" s="74"/>
      <c r="G35" s="79">
        <f>G34*1.04</f>
        <v>1.0920000000000001</v>
      </c>
      <c r="H35" s="79"/>
      <c r="I35" s="71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335"/>
    </row>
    <row r="36" spans="1:27" s="40" customFormat="1" ht="11.25" outlineLevel="1" x14ac:dyDescent="0.2">
      <c r="A36" s="65"/>
      <c r="B36" s="66" t="s">
        <v>113</v>
      </c>
      <c r="C36" s="67" t="s">
        <v>106</v>
      </c>
      <c r="D36" s="68" t="str">
        <f t="shared" si="2"/>
        <v>УЕР 01-001-01</v>
      </c>
      <c r="E36" s="73"/>
      <c r="F36" s="74"/>
      <c r="G36" s="79">
        <f>G35*1</f>
        <v>1.0920000000000001</v>
      </c>
      <c r="H36" s="79"/>
      <c r="I36" s="71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335"/>
    </row>
    <row r="37" spans="1:27" s="43" customFormat="1" ht="36" x14ac:dyDescent="0.2">
      <c r="A37" s="50">
        <v>2</v>
      </c>
      <c r="B37" s="51" t="s">
        <v>122</v>
      </c>
      <c r="C37" s="52" t="s">
        <v>123</v>
      </c>
      <c r="D37" s="53" t="s">
        <v>124</v>
      </c>
      <c r="E37" s="52"/>
      <c r="F37" s="54" t="s">
        <v>169</v>
      </c>
      <c r="G37" s="55" t="s">
        <v>170</v>
      </c>
      <c r="H37" s="39">
        <v>26.588000000000001</v>
      </c>
      <c r="I37" s="56">
        <f>I38+I39+I40+I41+I42+I43</f>
        <v>82273.820000000007</v>
      </c>
      <c r="J37" s="54"/>
      <c r="K37" s="54"/>
      <c r="L37" s="54"/>
      <c r="M37" s="54"/>
      <c r="N37" s="54"/>
      <c r="O37" s="54"/>
      <c r="P37" s="54"/>
      <c r="Q37" s="54"/>
      <c r="R37" s="56">
        <f>26.588*I37</f>
        <v>2187496.33</v>
      </c>
      <c r="S37" s="52"/>
      <c r="T37" s="52"/>
      <c r="U37" s="52"/>
      <c r="V37" s="52"/>
      <c r="W37" s="52"/>
      <c r="X37" s="52"/>
      <c r="Y37" s="52"/>
      <c r="Z37" s="52"/>
    </row>
    <row r="38" spans="1:27" s="40" customFormat="1" ht="54" outlineLevel="1" x14ac:dyDescent="0.2">
      <c r="A38" s="65"/>
      <c r="B38" s="66" t="s">
        <v>131</v>
      </c>
      <c r="C38" s="67" t="s">
        <v>146</v>
      </c>
      <c r="D38" s="68" t="str">
        <f>D37</f>
        <v>УЕР 01-001-02</v>
      </c>
      <c r="E38" s="80" t="s">
        <v>125</v>
      </c>
      <c r="F38" s="69" t="s">
        <v>111</v>
      </c>
      <c r="G38" s="70" t="s">
        <v>170</v>
      </c>
      <c r="H38" s="70">
        <v>26.588000000000001</v>
      </c>
      <c r="I38" s="71">
        <f>J38+K38+M38+N38+O38+P38+Q38</f>
        <v>62766.11</v>
      </c>
      <c r="J38" s="72">
        <v>4123.78</v>
      </c>
      <c r="K38" s="72">
        <v>30228.48</v>
      </c>
      <c r="L38" s="72">
        <v>15439.03</v>
      </c>
      <c r="M38" s="72">
        <v>0</v>
      </c>
      <c r="N38" s="72">
        <v>0</v>
      </c>
      <c r="O38" s="72">
        <v>0</v>
      </c>
      <c r="P38" s="72">
        <v>18607.3</v>
      </c>
      <c r="Q38" s="72">
        <v>9806.5499999999993</v>
      </c>
      <c r="R38" s="72">
        <f>S38+T38+V38+W38+X38+Y38+Z38</f>
        <v>1668825.33</v>
      </c>
      <c r="S38" s="72">
        <f t="shared" ref="S38:Z38" si="3">J38*$H$38</f>
        <v>109643.06</v>
      </c>
      <c r="T38" s="72">
        <f t="shared" si="3"/>
        <v>803714.83</v>
      </c>
      <c r="U38" s="72">
        <f t="shared" si="3"/>
        <v>410492.93</v>
      </c>
      <c r="V38" s="72">
        <f t="shared" si="3"/>
        <v>0</v>
      </c>
      <c r="W38" s="72">
        <f t="shared" si="3"/>
        <v>0</v>
      </c>
      <c r="X38" s="72">
        <f t="shared" si="3"/>
        <v>0</v>
      </c>
      <c r="Y38" s="72">
        <f t="shared" si="3"/>
        <v>494730.89</v>
      </c>
      <c r="Z38" s="72">
        <f t="shared" si="3"/>
        <v>260736.55</v>
      </c>
      <c r="AA38" s="63"/>
    </row>
    <row r="39" spans="1:27" s="40" customFormat="1" ht="18" outlineLevel="1" x14ac:dyDescent="0.2">
      <c r="A39" s="65"/>
      <c r="B39" s="66" t="s">
        <v>132</v>
      </c>
      <c r="C39" s="67" t="s">
        <v>107</v>
      </c>
      <c r="D39" s="68" t="str">
        <f>D38</f>
        <v>УЕР 01-001-02</v>
      </c>
      <c r="E39" s="73"/>
      <c r="F39" s="74"/>
      <c r="G39" s="75">
        <v>0.31080000000000002</v>
      </c>
      <c r="H39" s="76">
        <f>G39</f>
        <v>0.31080000000000002</v>
      </c>
      <c r="I39" s="71">
        <f>I38*H39</f>
        <v>19507.71</v>
      </c>
      <c r="J39" s="77"/>
      <c r="K39" s="77"/>
      <c r="L39" s="77"/>
      <c r="M39" s="77"/>
      <c r="N39" s="77"/>
      <c r="O39" s="77"/>
      <c r="P39" s="77"/>
      <c r="Q39" s="77"/>
      <c r="R39" s="78">
        <f>R38*H39</f>
        <v>518670.91</v>
      </c>
      <c r="S39" s="77"/>
      <c r="T39" s="77"/>
      <c r="U39" s="77"/>
      <c r="V39" s="77"/>
      <c r="W39" s="77"/>
      <c r="X39" s="77"/>
      <c r="Y39" s="77"/>
      <c r="Z39" s="77"/>
    </row>
    <row r="40" spans="1:27" s="40" customFormat="1" ht="11.25" outlineLevel="1" x14ac:dyDescent="0.2">
      <c r="A40" s="65"/>
      <c r="B40" s="66" t="s">
        <v>133</v>
      </c>
      <c r="C40" s="67" t="s">
        <v>103</v>
      </c>
      <c r="D40" s="68" t="str">
        <f t="shared" ref="D40:D43" si="4">D39</f>
        <v>УЕР 01-001-02</v>
      </c>
      <c r="E40" s="73"/>
      <c r="F40" s="74"/>
      <c r="G40" s="79">
        <v>1</v>
      </c>
      <c r="H40" s="79"/>
      <c r="I40" s="71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335"/>
    </row>
    <row r="41" spans="1:27" s="40" customFormat="1" ht="11.25" outlineLevel="1" x14ac:dyDescent="0.2">
      <c r="A41" s="65"/>
      <c r="B41" s="66" t="s">
        <v>134</v>
      </c>
      <c r="C41" s="67" t="s">
        <v>104</v>
      </c>
      <c r="D41" s="68" t="str">
        <f t="shared" si="4"/>
        <v>УЕР 01-001-02</v>
      </c>
      <c r="E41" s="73"/>
      <c r="F41" s="74"/>
      <c r="G41" s="79">
        <f>G40*1.05</f>
        <v>1.05</v>
      </c>
      <c r="H41" s="79"/>
      <c r="I41" s="71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335"/>
    </row>
    <row r="42" spans="1:27" s="40" customFormat="1" ht="11.25" outlineLevel="1" x14ac:dyDescent="0.2">
      <c r="A42" s="65"/>
      <c r="B42" s="66" t="s">
        <v>135</v>
      </c>
      <c r="C42" s="67" t="s">
        <v>105</v>
      </c>
      <c r="D42" s="68" t="str">
        <f t="shared" si="4"/>
        <v>УЕР 01-001-02</v>
      </c>
      <c r="E42" s="73"/>
      <c r="F42" s="74"/>
      <c r="G42" s="79">
        <f>G41*1.04</f>
        <v>1.0920000000000001</v>
      </c>
      <c r="H42" s="79"/>
      <c r="I42" s="71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335"/>
    </row>
    <row r="43" spans="1:27" s="40" customFormat="1" ht="11.25" outlineLevel="1" x14ac:dyDescent="0.2">
      <c r="A43" s="65"/>
      <c r="B43" s="66" t="s">
        <v>136</v>
      </c>
      <c r="C43" s="67" t="s">
        <v>106</v>
      </c>
      <c r="D43" s="68" t="str">
        <f t="shared" si="4"/>
        <v>УЕР 01-001-02</v>
      </c>
      <c r="E43" s="73"/>
      <c r="F43" s="74"/>
      <c r="G43" s="79">
        <f>G42*1</f>
        <v>1.0920000000000001</v>
      </c>
      <c r="H43" s="79"/>
      <c r="I43" s="71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335"/>
    </row>
    <row r="44" spans="1:27" s="43" customFormat="1" ht="36" x14ac:dyDescent="0.2">
      <c r="A44" s="50">
        <v>3</v>
      </c>
      <c r="B44" s="51" t="s">
        <v>137</v>
      </c>
      <c r="C44" s="52" t="s">
        <v>138</v>
      </c>
      <c r="D44" s="53" t="s">
        <v>148</v>
      </c>
      <c r="E44" s="52"/>
      <c r="F44" s="54" t="s">
        <v>169</v>
      </c>
      <c r="G44" s="55" t="s">
        <v>170</v>
      </c>
      <c r="H44" s="39">
        <v>26.588000000000001</v>
      </c>
      <c r="I44" s="56">
        <f>I45+I46+I47+I48+I49+I50</f>
        <v>104252.35</v>
      </c>
      <c r="J44" s="54"/>
      <c r="K44" s="54"/>
      <c r="L44" s="54"/>
      <c r="M44" s="54"/>
      <c r="N44" s="54"/>
      <c r="O44" s="54"/>
      <c r="P44" s="54"/>
      <c r="Q44" s="54"/>
      <c r="R44" s="56">
        <f>26.588*I44</f>
        <v>2771861.48</v>
      </c>
      <c r="S44" s="52"/>
      <c r="T44" s="52"/>
      <c r="U44" s="52"/>
      <c r="V44" s="52"/>
      <c r="W44" s="52"/>
      <c r="X44" s="52"/>
      <c r="Y44" s="52"/>
      <c r="Z44" s="52"/>
    </row>
    <row r="45" spans="1:27" s="40" customFormat="1" ht="54" outlineLevel="1" x14ac:dyDescent="0.2">
      <c r="A45" s="65"/>
      <c r="B45" s="66" t="s">
        <v>140</v>
      </c>
      <c r="C45" s="67" t="s">
        <v>150</v>
      </c>
      <c r="D45" s="68" t="s">
        <v>148</v>
      </c>
      <c r="E45" s="68" t="s">
        <v>149</v>
      </c>
      <c r="F45" s="69" t="s">
        <v>111</v>
      </c>
      <c r="G45" s="70" t="s">
        <v>170</v>
      </c>
      <c r="H45" s="70">
        <v>26.588000000000001</v>
      </c>
      <c r="I45" s="71">
        <f>J45+K45+M45+N45+O45+P45+Q45</f>
        <v>79533.38</v>
      </c>
      <c r="J45" s="72">
        <v>5179.87</v>
      </c>
      <c r="K45" s="72">
        <v>38396.160000000003</v>
      </c>
      <c r="L45" s="72">
        <v>19613.099999999999</v>
      </c>
      <c r="M45" s="72">
        <v>0</v>
      </c>
      <c r="N45" s="72">
        <v>0</v>
      </c>
      <c r="O45" s="72">
        <v>0</v>
      </c>
      <c r="P45" s="72">
        <v>23535.72</v>
      </c>
      <c r="Q45" s="72">
        <v>12421.63</v>
      </c>
      <c r="R45" s="72">
        <f>S45+T45+V45+W45+X45+Y45+Z45</f>
        <v>2114633.5</v>
      </c>
      <c r="S45" s="72">
        <f t="shared" ref="S45:Z45" si="5">J45*$H$45</f>
        <v>137722.38</v>
      </c>
      <c r="T45" s="72">
        <f t="shared" si="5"/>
        <v>1020877.1</v>
      </c>
      <c r="U45" s="72">
        <f t="shared" si="5"/>
        <v>521473.1</v>
      </c>
      <c r="V45" s="72">
        <f t="shared" si="5"/>
        <v>0</v>
      </c>
      <c r="W45" s="72">
        <f t="shared" si="5"/>
        <v>0</v>
      </c>
      <c r="X45" s="72">
        <f t="shared" si="5"/>
        <v>0</v>
      </c>
      <c r="Y45" s="72">
        <f t="shared" si="5"/>
        <v>625767.72</v>
      </c>
      <c r="Z45" s="72">
        <f t="shared" si="5"/>
        <v>330266.3</v>
      </c>
      <c r="AA45" s="63"/>
    </row>
    <row r="46" spans="1:27" s="40" customFormat="1" ht="18" outlineLevel="1" x14ac:dyDescent="0.2">
      <c r="A46" s="65"/>
      <c r="B46" s="66" t="s">
        <v>141</v>
      </c>
      <c r="C46" s="67" t="s">
        <v>107</v>
      </c>
      <c r="D46" s="68" t="s">
        <v>139</v>
      </c>
      <c r="E46" s="73"/>
      <c r="F46" s="74"/>
      <c r="G46" s="75">
        <v>0.31080000000000002</v>
      </c>
      <c r="H46" s="76">
        <f>G46</f>
        <v>0.31080000000000002</v>
      </c>
      <c r="I46" s="71">
        <f>I45*H46</f>
        <v>24718.97</v>
      </c>
      <c r="J46" s="77"/>
      <c r="K46" s="77"/>
      <c r="L46" s="77"/>
      <c r="M46" s="77"/>
      <c r="N46" s="77"/>
      <c r="O46" s="77"/>
      <c r="P46" s="77"/>
      <c r="Q46" s="77"/>
      <c r="R46" s="78">
        <f>R45*H46</f>
        <v>657228.09</v>
      </c>
      <c r="S46" s="77"/>
      <c r="T46" s="77"/>
      <c r="U46" s="77"/>
      <c r="V46" s="77"/>
      <c r="W46" s="77"/>
      <c r="X46" s="77"/>
      <c r="Y46" s="77"/>
      <c r="Z46" s="77"/>
    </row>
    <row r="47" spans="1:27" s="40" customFormat="1" ht="11.25" outlineLevel="1" x14ac:dyDescent="0.2">
      <c r="A47" s="65"/>
      <c r="B47" s="66" t="s">
        <v>142</v>
      </c>
      <c r="C47" s="67" t="s">
        <v>103</v>
      </c>
      <c r="D47" s="68" t="s">
        <v>139</v>
      </c>
      <c r="E47" s="73"/>
      <c r="F47" s="74"/>
      <c r="G47" s="79">
        <v>1</v>
      </c>
      <c r="H47" s="79"/>
      <c r="I47" s="71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335"/>
    </row>
    <row r="48" spans="1:27" s="40" customFormat="1" ht="11.25" outlineLevel="1" x14ac:dyDescent="0.2">
      <c r="A48" s="65"/>
      <c r="B48" s="66" t="s">
        <v>143</v>
      </c>
      <c r="C48" s="67" t="s">
        <v>104</v>
      </c>
      <c r="D48" s="68" t="s">
        <v>139</v>
      </c>
      <c r="E48" s="73"/>
      <c r="F48" s="74"/>
      <c r="G48" s="79">
        <f>G47*1.05</f>
        <v>1.05</v>
      </c>
      <c r="H48" s="79"/>
      <c r="I48" s="71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335"/>
    </row>
    <row r="49" spans="1:27" s="40" customFormat="1" ht="11.25" outlineLevel="1" x14ac:dyDescent="0.2">
      <c r="A49" s="65"/>
      <c r="B49" s="66" t="s">
        <v>144</v>
      </c>
      <c r="C49" s="67" t="s">
        <v>105</v>
      </c>
      <c r="D49" s="68" t="s">
        <v>139</v>
      </c>
      <c r="E49" s="73"/>
      <c r="F49" s="74"/>
      <c r="G49" s="79">
        <f>G48*1.04</f>
        <v>1.0920000000000001</v>
      </c>
      <c r="H49" s="79"/>
      <c r="I49" s="71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335"/>
    </row>
    <row r="50" spans="1:27" s="40" customFormat="1" ht="11.25" outlineLevel="1" x14ac:dyDescent="0.2">
      <c r="A50" s="65"/>
      <c r="B50" s="66" t="s">
        <v>145</v>
      </c>
      <c r="C50" s="67" t="s">
        <v>106</v>
      </c>
      <c r="D50" s="68" t="s">
        <v>139</v>
      </c>
      <c r="E50" s="73"/>
      <c r="F50" s="74"/>
      <c r="G50" s="79">
        <f>G49*1</f>
        <v>1.0920000000000001</v>
      </c>
      <c r="H50" s="79"/>
      <c r="I50" s="71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335"/>
    </row>
    <row r="51" spans="1:27" s="43" customFormat="1" ht="36" x14ac:dyDescent="0.2">
      <c r="A51" s="50">
        <v>4</v>
      </c>
      <c r="B51" s="51" t="s">
        <v>153</v>
      </c>
      <c r="C51" s="52" t="s">
        <v>152</v>
      </c>
      <c r="D51" s="53" t="s">
        <v>151</v>
      </c>
      <c r="E51" s="52"/>
      <c r="F51" s="54" t="s">
        <v>169</v>
      </c>
      <c r="G51" s="55" t="s">
        <v>170</v>
      </c>
      <c r="H51" s="39">
        <v>26.588000000000001</v>
      </c>
      <c r="I51" s="56">
        <f>I52+I53+I54+I55+I56+I57</f>
        <v>231176.71</v>
      </c>
      <c r="J51" s="54"/>
      <c r="K51" s="54"/>
      <c r="L51" s="54"/>
      <c r="M51" s="54"/>
      <c r="N51" s="54"/>
      <c r="O51" s="54"/>
      <c r="P51" s="54"/>
      <c r="Q51" s="54"/>
      <c r="R51" s="56">
        <f>26.588*I51</f>
        <v>6146526.3700000001</v>
      </c>
      <c r="S51" s="52"/>
      <c r="T51" s="52"/>
      <c r="U51" s="52"/>
      <c r="V51" s="52"/>
      <c r="W51" s="52"/>
      <c r="X51" s="52"/>
      <c r="Y51" s="52"/>
      <c r="Z51" s="52"/>
    </row>
    <row r="52" spans="1:27" s="40" customFormat="1" ht="54" outlineLevel="1" x14ac:dyDescent="0.2">
      <c r="A52" s="65"/>
      <c r="B52" s="66" t="s">
        <v>154</v>
      </c>
      <c r="C52" s="67" t="s">
        <v>161</v>
      </c>
      <c r="D52" s="68" t="s">
        <v>151</v>
      </c>
      <c r="E52" s="68" t="s">
        <v>160</v>
      </c>
      <c r="F52" s="69" t="s">
        <v>111</v>
      </c>
      <c r="G52" s="70" t="s">
        <v>170</v>
      </c>
      <c r="H52" s="70">
        <v>26.588000000000001</v>
      </c>
      <c r="I52" s="71">
        <f>J52+K52+M52+N52+O52+P52+Q52</f>
        <v>176363.07</v>
      </c>
      <c r="J52" s="72">
        <v>11516.41</v>
      </c>
      <c r="K52" s="72">
        <v>85086.720000000001</v>
      </c>
      <c r="L52" s="72">
        <v>43500.85</v>
      </c>
      <c r="M52" s="72">
        <v>0</v>
      </c>
      <c r="N52" s="72">
        <v>0</v>
      </c>
      <c r="O52" s="72">
        <v>0</v>
      </c>
      <c r="P52" s="72">
        <v>52251.31</v>
      </c>
      <c r="Q52" s="72">
        <v>27508.63</v>
      </c>
      <c r="R52" s="72">
        <f>S52+T52+V52+W52+X52+Y52+Z52</f>
        <v>4689141.3</v>
      </c>
      <c r="S52" s="72">
        <f t="shared" ref="S52:Z52" si="6">J52*$H$52</f>
        <v>306198.31</v>
      </c>
      <c r="T52" s="72">
        <f t="shared" si="6"/>
        <v>2262285.71</v>
      </c>
      <c r="U52" s="72">
        <f t="shared" si="6"/>
        <v>1156600.6000000001</v>
      </c>
      <c r="V52" s="72">
        <f t="shared" si="6"/>
        <v>0</v>
      </c>
      <c r="W52" s="72">
        <f t="shared" si="6"/>
        <v>0</v>
      </c>
      <c r="X52" s="72">
        <f t="shared" si="6"/>
        <v>0</v>
      </c>
      <c r="Y52" s="72">
        <f t="shared" si="6"/>
        <v>1389257.83</v>
      </c>
      <c r="Z52" s="72">
        <f t="shared" si="6"/>
        <v>731399.45</v>
      </c>
      <c r="AA52" s="63"/>
    </row>
    <row r="53" spans="1:27" s="40" customFormat="1" ht="18" outlineLevel="1" x14ac:dyDescent="0.2">
      <c r="A53" s="65"/>
      <c r="B53" s="66" t="s">
        <v>155</v>
      </c>
      <c r="C53" s="67" t="s">
        <v>107</v>
      </c>
      <c r="D53" s="68" t="s">
        <v>151</v>
      </c>
      <c r="E53" s="73"/>
      <c r="F53" s="74"/>
      <c r="G53" s="75">
        <v>0.31080000000000002</v>
      </c>
      <c r="H53" s="76">
        <f>G53</f>
        <v>0.31080000000000002</v>
      </c>
      <c r="I53" s="71">
        <f>I52*H53</f>
        <v>54813.64</v>
      </c>
      <c r="J53" s="77"/>
      <c r="K53" s="77"/>
      <c r="L53" s="77"/>
      <c r="M53" s="77"/>
      <c r="N53" s="77"/>
      <c r="O53" s="77"/>
      <c r="P53" s="77"/>
      <c r="Q53" s="77"/>
      <c r="R53" s="78">
        <f>R52*H53</f>
        <v>1457385.12</v>
      </c>
      <c r="S53" s="77"/>
      <c r="T53" s="77"/>
      <c r="U53" s="77"/>
      <c r="V53" s="77"/>
      <c r="W53" s="77"/>
      <c r="X53" s="77"/>
      <c r="Y53" s="77"/>
      <c r="Z53" s="77"/>
    </row>
    <row r="54" spans="1:27" s="40" customFormat="1" ht="11.25" outlineLevel="1" x14ac:dyDescent="0.2">
      <c r="A54" s="65"/>
      <c r="B54" s="66" t="s">
        <v>156</v>
      </c>
      <c r="C54" s="67" t="s">
        <v>103</v>
      </c>
      <c r="D54" s="68" t="s">
        <v>151</v>
      </c>
      <c r="E54" s="73"/>
      <c r="F54" s="74"/>
      <c r="G54" s="79">
        <v>1</v>
      </c>
      <c r="H54" s="79"/>
      <c r="I54" s="71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335"/>
    </row>
    <row r="55" spans="1:27" s="40" customFormat="1" ht="11.25" outlineLevel="1" x14ac:dyDescent="0.2">
      <c r="A55" s="65"/>
      <c r="B55" s="66" t="s">
        <v>157</v>
      </c>
      <c r="C55" s="67" t="s">
        <v>104</v>
      </c>
      <c r="D55" s="68" t="s">
        <v>151</v>
      </c>
      <c r="E55" s="73"/>
      <c r="F55" s="74"/>
      <c r="G55" s="79">
        <f>G54*1.05</f>
        <v>1.05</v>
      </c>
      <c r="H55" s="79"/>
      <c r="I55" s="71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335"/>
    </row>
    <row r="56" spans="1:27" s="40" customFormat="1" ht="11.25" outlineLevel="1" x14ac:dyDescent="0.2">
      <c r="A56" s="65"/>
      <c r="B56" s="66" t="s">
        <v>158</v>
      </c>
      <c r="C56" s="67" t="s">
        <v>105</v>
      </c>
      <c r="D56" s="68" t="s">
        <v>151</v>
      </c>
      <c r="E56" s="73"/>
      <c r="F56" s="74"/>
      <c r="G56" s="79">
        <f>G55*1.04</f>
        <v>1.0920000000000001</v>
      </c>
      <c r="H56" s="79"/>
      <c r="I56" s="71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335"/>
    </row>
    <row r="57" spans="1:27" s="40" customFormat="1" ht="11.25" outlineLevel="1" x14ac:dyDescent="0.2">
      <c r="A57" s="65"/>
      <c r="B57" s="66" t="s">
        <v>159</v>
      </c>
      <c r="C57" s="67" t="s">
        <v>106</v>
      </c>
      <c r="D57" s="68" t="s">
        <v>151</v>
      </c>
      <c r="E57" s="73"/>
      <c r="F57" s="74"/>
      <c r="G57" s="79">
        <f>G56*1</f>
        <v>1.0920000000000001</v>
      </c>
      <c r="H57" s="79"/>
      <c r="I57" s="71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335"/>
    </row>
    <row r="58" spans="1:27" s="43" customFormat="1" ht="12" x14ac:dyDescent="0.2">
      <c r="A58" s="243" t="s">
        <v>117</v>
      </c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57"/>
      <c r="N58" s="57"/>
      <c r="O58" s="57"/>
      <c r="P58" s="57"/>
      <c r="Q58" s="57"/>
      <c r="R58" s="58">
        <f>R30+R37+R44+R51</f>
        <v>12841862.82</v>
      </c>
      <c r="S58" s="59"/>
      <c r="T58" s="59"/>
      <c r="U58" s="59"/>
      <c r="V58" s="59"/>
      <c r="W58" s="59"/>
      <c r="X58" s="59"/>
      <c r="Y58" s="59"/>
      <c r="Z58" s="59"/>
    </row>
    <row r="59" spans="1:27" s="43" customFormat="1" ht="12" x14ac:dyDescent="0.2">
      <c r="A59" s="42" t="s">
        <v>171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7"/>
      <c r="W59" s="47"/>
      <c r="X59" s="47"/>
      <c r="Y59" s="47"/>
      <c r="Z59" s="47"/>
    </row>
    <row r="60" spans="1:27" s="43" customFormat="1" ht="36" x14ac:dyDescent="0.2">
      <c r="A60" s="50">
        <v>5</v>
      </c>
      <c r="B60" s="51" t="s">
        <v>175</v>
      </c>
      <c r="C60" s="52" t="s">
        <v>164</v>
      </c>
      <c r="D60" s="53" t="s">
        <v>162</v>
      </c>
      <c r="E60" s="52"/>
      <c r="F60" s="54" t="s">
        <v>169</v>
      </c>
      <c r="G60" s="55" t="s">
        <v>173</v>
      </c>
      <c r="H60" s="39">
        <f>(150*250)/1000</f>
        <v>37.5</v>
      </c>
      <c r="I60" s="56">
        <f>I61+I62+I63+I64+I65+I66</f>
        <v>135725.65</v>
      </c>
      <c r="J60" s="54"/>
      <c r="K60" s="54"/>
      <c r="L60" s="54"/>
      <c r="M60" s="54"/>
      <c r="N60" s="54"/>
      <c r="O60" s="54"/>
      <c r="P60" s="54"/>
      <c r="Q60" s="54"/>
      <c r="R60" s="56">
        <f>26.588*I60</f>
        <v>3608673.58</v>
      </c>
      <c r="S60" s="52"/>
      <c r="T60" s="52"/>
      <c r="U60" s="52"/>
      <c r="V60" s="52"/>
      <c r="W60" s="52"/>
      <c r="X60" s="52"/>
      <c r="Y60" s="52"/>
      <c r="Z60" s="52"/>
    </row>
    <row r="61" spans="1:27" s="40" customFormat="1" ht="54" outlineLevel="1" x14ac:dyDescent="0.2">
      <c r="A61" s="65"/>
      <c r="B61" s="66" t="s">
        <v>176</v>
      </c>
      <c r="C61" s="67" t="s">
        <v>174</v>
      </c>
      <c r="D61" s="68" t="s">
        <v>162</v>
      </c>
      <c r="E61" s="68" t="s">
        <v>163</v>
      </c>
      <c r="F61" s="69" t="s">
        <v>169</v>
      </c>
      <c r="G61" s="70" t="s">
        <v>173</v>
      </c>
      <c r="H61" s="70">
        <v>37.5</v>
      </c>
      <c r="I61" s="71">
        <f>J61+K61+M61+N61+O61+P61+Q61</f>
        <v>103544.13</v>
      </c>
      <c r="J61" s="72">
        <v>6738.86</v>
      </c>
      <c r="K61" s="72">
        <v>49985.279999999999</v>
      </c>
      <c r="L61" s="72">
        <v>25547.32</v>
      </c>
      <c r="M61" s="72">
        <v>0</v>
      </c>
      <c r="N61" s="72">
        <v>0</v>
      </c>
      <c r="O61" s="72">
        <v>0</v>
      </c>
      <c r="P61" s="72">
        <v>30676.9</v>
      </c>
      <c r="Q61" s="72">
        <v>16143.09</v>
      </c>
      <c r="R61" s="72">
        <f>S61+T61+V61+W61+X61+Y61+Z61</f>
        <v>3882904.88</v>
      </c>
      <c r="S61" s="72">
        <f t="shared" ref="S61:Z61" si="7">J61*$H$61</f>
        <v>252707.25</v>
      </c>
      <c r="T61" s="72">
        <f t="shared" si="7"/>
        <v>1874448</v>
      </c>
      <c r="U61" s="72">
        <f t="shared" si="7"/>
        <v>958024.5</v>
      </c>
      <c r="V61" s="72">
        <f t="shared" si="7"/>
        <v>0</v>
      </c>
      <c r="W61" s="72">
        <f t="shared" si="7"/>
        <v>0</v>
      </c>
      <c r="X61" s="72">
        <f t="shared" si="7"/>
        <v>0</v>
      </c>
      <c r="Y61" s="72">
        <f t="shared" si="7"/>
        <v>1150383.75</v>
      </c>
      <c r="Z61" s="72">
        <f t="shared" si="7"/>
        <v>605365.88</v>
      </c>
      <c r="AA61" s="63"/>
    </row>
    <row r="62" spans="1:27" s="40" customFormat="1" ht="18" outlineLevel="1" x14ac:dyDescent="0.2">
      <c r="A62" s="65"/>
      <c r="B62" s="66" t="s">
        <v>177</v>
      </c>
      <c r="C62" s="67" t="s">
        <v>107</v>
      </c>
      <c r="D62" s="68" t="s">
        <v>162</v>
      </c>
      <c r="E62" s="73"/>
      <c r="F62" s="74"/>
      <c r="G62" s="75">
        <v>0.31080000000000002</v>
      </c>
      <c r="H62" s="76">
        <f>G62</f>
        <v>0.31080000000000002</v>
      </c>
      <c r="I62" s="71">
        <f>I61*H62</f>
        <v>32181.52</v>
      </c>
      <c r="J62" s="77"/>
      <c r="K62" s="77"/>
      <c r="L62" s="77"/>
      <c r="M62" s="77"/>
      <c r="N62" s="77"/>
      <c r="O62" s="77"/>
      <c r="P62" s="77"/>
      <c r="Q62" s="77"/>
      <c r="R62" s="78">
        <f>R61*H62</f>
        <v>1206806.8400000001</v>
      </c>
      <c r="S62" s="77"/>
      <c r="T62" s="77"/>
      <c r="U62" s="77"/>
      <c r="V62" s="77"/>
      <c r="W62" s="77"/>
      <c r="X62" s="77"/>
      <c r="Y62" s="77"/>
      <c r="Z62" s="77"/>
    </row>
    <row r="63" spans="1:27" s="40" customFormat="1" ht="11.25" outlineLevel="1" x14ac:dyDescent="0.2">
      <c r="A63" s="65"/>
      <c r="B63" s="66" t="s">
        <v>178</v>
      </c>
      <c r="C63" s="67" t="s">
        <v>103</v>
      </c>
      <c r="D63" s="68" t="s">
        <v>162</v>
      </c>
      <c r="E63" s="73"/>
      <c r="F63" s="74"/>
      <c r="G63" s="79">
        <v>1</v>
      </c>
      <c r="H63" s="79"/>
      <c r="I63" s="71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335"/>
    </row>
    <row r="64" spans="1:27" s="40" customFormat="1" ht="11.25" outlineLevel="1" x14ac:dyDescent="0.2">
      <c r="A64" s="65"/>
      <c r="B64" s="66" t="s">
        <v>179</v>
      </c>
      <c r="C64" s="67" t="s">
        <v>104</v>
      </c>
      <c r="D64" s="68" t="s">
        <v>162</v>
      </c>
      <c r="E64" s="73"/>
      <c r="F64" s="74"/>
      <c r="G64" s="79">
        <f>G63*1.05</f>
        <v>1.05</v>
      </c>
      <c r="H64" s="79"/>
      <c r="I64" s="71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335"/>
    </row>
    <row r="65" spans="1:27" s="40" customFormat="1" ht="11.25" outlineLevel="1" x14ac:dyDescent="0.2">
      <c r="A65" s="65"/>
      <c r="B65" s="66" t="s">
        <v>180</v>
      </c>
      <c r="C65" s="67" t="s">
        <v>105</v>
      </c>
      <c r="D65" s="68" t="s">
        <v>162</v>
      </c>
      <c r="E65" s="73"/>
      <c r="F65" s="74"/>
      <c r="G65" s="79">
        <f>G64*1.04</f>
        <v>1.0920000000000001</v>
      </c>
      <c r="H65" s="79"/>
      <c r="I65" s="71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335"/>
    </row>
    <row r="66" spans="1:27" s="40" customFormat="1" ht="11.25" outlineLevel="1" x14ac:dyDescent="0.2">
      <c r="A66" s="65"/>
      <c r="B66" s="66" t="s">
        <v>181</v>
      </c>
      <c r="C66" s="67" t="s">
        <v>106</v>
      </c>
      <c r="D66" s="68" t="s">
        <v>162</v>
      </c>
      <c r="E66" s="73"/>
      <c r="F66" s="74"/>
      <c r="G66" s="79">
        <f>G65*1</f>
        <v>1.0920000000000001</v>
      </c>
      <c r="H66" s="79"/>
      <c r="I66" s="71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335"/>
    </row>
    <row r="67" spans="1:27" s="43" customFormat="1" ht="36" x14ac:dyDescent="0.2">
      <c r="A67" s="50">
        <v>6</v>
      </c>
      <c r="B67" s="51" t="s">
        <v>182</v>
      </c>
      <c r="C67" s="52" t="s">
        <v>167</v>
      </c>
      <c r="D67" s="53" t="s">
        <v>165</v>
      </c>
      <c r="E67" s="52"/>
      <c r="F67" s="54" t="s">
        <v>168</v>
      </c>
      <c r="G67" s="55" t="s">
        <v>172</v>
      </c>
      <c r="H67" s="39">
        <f>(15*15*0.5)/100</f>
        <v>1.125</v>
      </c>
      <c r="I67" s="56">
        <f>I68+I69+I70+I71+I72+I73</f>
        <v>301305.46000000002</v>
      </c>
      <c r="J67" s="54"/>
      <c r="K67" s="54"/>
      <c r="L67" s="54"/>
      <c r="M67" s="54"/>
      <c r="N67" s="54"/>
      <c r="O67" s="54"/>
      <c r="P67" s="54"/>
      <c r="Q67" s="54"/>
      <c r="R67" s="56">
        <f>26.588*I67</f>
        <v>8011109.5700000003</v>
      </c>
      <c r="S67" s="52"/>
      <c r="T67" s="52"/>
      <c r="U67" s="52"/>
      <c r="V67" s="52"/>
      <c r="W67" s="52"/>
      <c r="X67" s="52"/>
      <c r="Y67" s="52"/>
      <c r="Z67" s="52"/>
    </row>
    <row r="68" spans="1:27" s="40" customFormat="1" ht="45" outlineLevel="1" x14ac:dyDescent="0.2">
      <c r="A68" s="65"/>
      <c r="B68" s="66" t="s">
        <v>183</v>
      </c>
      <c r="C68" s="67" t="s">
        <v>189</v>
      </c>
      <c r="D68" s="68" t="s">
        <v>165</v>
      </c>
      <c r="E68" s="68" t="s">
        <v>166</v>
      </c>
      <c r="F68" s="69" t="s">
        <v>168</v>
      </c>
      <c r="G68" s="70" t="s">
        <v>172</v>
      </c>
      <c r="H68" s="70">
        <v>1.125</v>
      </c>
      <c r="I68" s="71">
        <f>J68+K68+M68+N68+O68+P68+Q68</f>
        <v>229863.79</v>
      </c>
      <c r="J68" s="72">
        <v>70607.16</v>
      </c>
      <c r="K68" s="72">
        <v>18293.759999999998</v>
      </c>
      <c r="L68" s="72">
        <v>12321.05</v>
      </c>
      <c r="M68" s="72">
        <v>0</v>
      </c>
      <c r="N68" s="72">
        <v>0</v>
      </c>
      <c r="O68" s="72">
        <v>0</v>
      </c>
      <c r="P68" s="72">
        <v>87051.99</v>
      </c>
      <c r="Q68" s="72">
        <v>53910.879999999997</v>
      </c>
      <c r="R68" s="72">
        <f>S68+T68+V68+W68+X68+Y68+Z68</f>
        <v>6111618.4500000002</v>
      </c>
      <c r="S68" s="72">
        <f t="shared" ref="S68:X68" si="8">J68*$H$31</f>
        <v>1877303.17</v>
      </c>
      <c r="T68" s="72">
        <f t="shared" si="8"/>
        <v>486394.49</v>
      </c>
      <c r="U68" s="72">
        <f t="shared" si="8"/>
        <v>327592.08</v>
      </c>
      <c r="V68" s="72">
        <f t="shared" si="8"/>
        <v>0</v>
      </c>
      <c r="W68" s="72">
        <f t="shared" si="8"/>
        <v>0</v>
      </c>
      <c r="X68" s="72">
        <f t="shared" si="8"/>
        <v>0</v>
      </c>
      <c r="Y68" s="72">
        <f t="shared" ref="Y68" si="9">P68*$H$31</f>
        <v>2314538.31</v>
      </c>
      <c r="Z68" s="72">
        <f t="shared" ref="Z68" si="10">Q68*$H$31</f>
        <v>1433382.48</v>
      </c>
      <c r="AA68" s="63">
        <f>U68+S68</f>
        <v>2204895.25</v>
      </c>
    </row>
    <row r="69" spans="1:27" s="40" customFormat="1" ht="18" outlineLevel="1" x14ac:dyDescent="0.2">
      <c r="A69" s="65"/>
      <c r="B69" s="66" t="s">
        <v>184</v>
      </c>
      <c r="C69" s="67" t="s">
        <v>107</v>
      </c>
      <c r="D69" s="68" t="s">
        <v>165</v>
      </c>
      <c r="E69" s="73"/>
      <c r="F69" s="74"/>
      <c r="G69" s="75">
        <v>0.31080000000000002</v>
      </c>
      <c r="H69" s="76">
        <f>G69</f>
        <v>0.31080000000000002</v>
      </c>
      <c r="I69" s="71">
        <f>I68*H69</f>
        <v>71441.67</v>
      </c>
      <c r="J69" s="77"/>
      <c r="K69" s="77"/>
      <c r="L69" s="77"/>
      <c r="M69" s="77"/>
      <c r="N69" s="77"/>
      <c r="O69" s="77"/>
      <c r="P69" s="77"/>
      <c r="Q69" s="77"/>
      <c r="R69" s="78">
        <f>R68*H69</f>
        <v>1899491.01</v>
      </c>
      <c r="S69" s="77"/>
      <c r="T69" s="77"/>
      <c r="U69" s="77"/>
      <c r="V69" s="77"/>
      <c r="W69" s="77"/>
      <c r="X69" s="77"/>
      <c r="Y69" s="77"/>
      <c r="Z69" s="77"/>
    </row>
    <row r="70" spans="1:27" s="40" customFormat="1" ht="11.25" outlineLevel="1" x14ac:dyDescent="0.2">
      <c r="A70" s="65"/>
      <c r="B70" s="66" t="s">
        <v>185</v>
      </c>
      <c r="C70" s="67" t="s">
        <v>103</v>
      </c>
      <c r="D70" s="68" t="s">
        <v>165</v>
      </c>
      <c r="E70" s="73"/>
      <c r="F70" s="74"/>
      <c r="G70" s="79">
        <v>1</v>
      </c>
      <c r="H70" s="79"/>
      <c r="I70" s="71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335"/>
    </row>
    <row r="71" spans="1:27" s="40" customFormat="1" ht="11.25" outlineLevel="1" x14ac:dyDescent="0.2">
      <c r="A71" s="65"/>
      <c r="B71" s="66" t="s">
        <v>186</v>
      </c>
      <c r="C71" s="67" t="s">
        <v>104</v>
      </c>
      <c r="D71" s="68" t="s">
        <v>165</v>
      </c>
      <c r="E71" s="73"/>
      <c r="F71" s="74"/>
      <c r="G71" s="79">
        <f>G70*1.05</f>
        <v>1.05</v>
      </c>
      <c r="H71" s="79"/>
      <c r="I71" s="71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335"/>
    </row>
    <row r="72" spans="1:27" s="40" customFormat="1" ht="11.25" outlineLevel="1" x14ac:dyDescent="0.2">
      <c r="A72" s="65"/>
      <c r="B72" s="66" t="s">
        <v>187</v>
      </c>
      <c r="C72" s="67" t="s">
        <v>105</v>
      </c>
      <c r="D72" s="68" t="s">
        <v>165</v>
      </c>
      <c r="E72" s="73"/>
      <c r="F72" s="74"/>
      <c r="G72" s="79">
        <f>G71*1.04</f>
        <v>1.0920000000000001</v>
      </c>
      <c r="H72" s="79"/>
      <c r="I72" s="71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335"/>
    </row>
    <row r="73" spans="1:27" s="40" customFormat="1" ht="11.25" outlineLevel="1" x14ac:dyDescent="0.2">
      <c r="A73" s="65"/>
      <c r="B73" s="66" t="s">
        <v>188</v>
      </c>
      <c r="C73" s="67" t="s">
        <v>106</v>
      </c>
      <c r="D73" s="68" t="s">
        <v>165</v>
      </c>
      <c r="E73" s="73"/>
      <c r="F73" s="74"/>
      <c r="G73" s="79">
        <f>G72*1</f>
        <v>1.0920000000000001</v>
      </c>
      <c r="H73" s="79"/>
      <c r="I73" s="71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335"/>
    </row>
    <row r="74" spans="1:27" s="43" customFormat="1" ht="12" x14ac:dyDescent="0.2">
      <c r="A74" s="243" t="s">
        <v>118</v>
      </c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57"/>
      <c r="N74" s="57"/>
      <c r="O74" s="57"/>
      <c r="P74" s="57"/>
      <c r="Q74" s="57"/>
      <c r="R74" s="58">
        <f>R60+R67</f>
        <v>11619783.15</v>
      </c>
      <c r="S74" s="59"/>
      <c r="T74" s="59"/>
      <c r="U74" s="59"/>
      <c r="V74" s="59"/>
      <c r="W74" s="59"/>
      <c r="X74" s="59"/>
      <c r="Y74" s="59"/>
      <c r="Z74" s="59"/>
    </row>
    <row r="75" spans="1:27" s="43" customFormat="1" ht="12" x14ac:dyDescent="0.2">
      <c r="A75" s="316" t="s">
        <v>94</v>
      </c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60"/>
      <c r="N75" s="60"/>
      <c r="O75" s="60"/>
      <c r="P75" s="60"/>
      <c r="Q75" s="60"/>
      <c r="R75" s="61">
        <f>R74+R58</f>
        <v>24461645.969999999</v>
      </c>
      <c r="S75" s="62"/>
      <c r="T75" s="62"/>
      <c r="U75" s="62"/>
      <c r="V75" s="62"/>
      <c r="W75" s="62"/>
      <c r="X75" s="62"/>
      <c r="Y75" s="62"/>
      <c r="Z75" s="62"/>
    </row>
  </sheetData>
  <mergeCells count="65">
    <mergeCell ref="AA63:AA66"/>
    <mergeCell ref="AA70:AA73"/>
    <mergeCell ref="M25:M26"/>
    <mergeCell ref="N25:N26"/>
    <mergeCell ref="V25:V26"/>
    <mergeCell ref="W25:W26"/>
    <mergeCell ref="O25:O26"/>
    <mergeCell ref="X25:X26"/>
    <mergeCell ref="AA33:AA36"/>
    <mergeCell ref="Y25:Y26"/>
    <mergeCell ref="Z25:Z26"/>
    <mergeCell ref="U25:U26"/>
    <mergeCell ref="A58:L58"/>
    <mergeCell ref="AA40:AA43"/>
    <mergeCell ref="AA47:AA50"/>
    <mergeCell ref="AA54:AA57"/>
    <mergeCell ref="T11:U11"/>
    <mergeCell ref="T12:U12"/>
    <mergeCell ref="T13:U13"/>
    <mergeCell ref="T14:U14"/>
    <mergeCell ref="T17:U17"/>
    <mergeCell ref="R17:S17"/>
    <mergeCell ref="P16:Q17"/>
    <mergeCell ref="R16:U16"/>
    <mergeCell ref="R18:S18"/>
    <mergeCell ref="T18:U18"/>
    <mergeCell ref="P18:Q18"/>
    <mergeCell ref="A23:B23"/>
    <mergeCell ref="T4:U4"/>
    <mergeCell ref="T5:U5"/>
    <mergeCell ref="B6:R6"/>
    <mergeCell ref="T6:U6"/>
    <mergeCell ref="B7:R7"/>
    <mergeCell ref="T7:U7"/>
    <mergeCell ref="D23:D26"/>
    <mergeCell ref="T25:T26"/>
    <mergeCell ref="R24:R26"/>
    <mergeCell ref="I23:Q23"/>
    <mergeCell ref="B8:R8"/>
    <mergeCell ref="T8:U8"/>
    <mergeCell ref="B9:R9"/>
    <mergeCell ref="T9:U9"/>
    <mergeCell ref="T10:U10"/>
    <mergeCell ref="N16:O17"/>
    <mergeCell ref="N18:O18"/>
    <mergeCell ref="R23:Z23"/>
    <mergeCell ref="G23:H24"/>
    <mergeCell ref="S24:Z24"/>
    <mergeCell ref="S25:S26"/>
    <mergeCell ref="A75:L75"/>
    <mergeCell ref="A74:L74"/>
    <mergeCell ref="A24:A26"/>
    <mergeCell ref="B24:B26"/>
    <mergeCell ref="I24:I26"/>
    <mergeCell ref="J24:Q24"/>
    <mergeCell ref="J25:J26"/>
    <mergeCell ref="P25:P26"/>
    <mergeCell ref="Q25:Q26"/>
    <mergeCell ref="L25:L26"/>
    <mergeCell ref="C23:C26"/>
    <mergeCell ref="F23:F26"/>
    <mergeCell ref="K25:K26"/>
    <mergeCell ref="G25:G26"/>
    <mergeCell ref="H25:H26"/>
    <mergeCell ref="E23:E26"/>
  </mergeCells>
  <pageMargins left="0" right="0" top="0" bottom="0" header="0" footer="0"/>
  <pageSetup paperSize="9" scale="53" fitToHeight="10000" orientation="landscape" r:id="rId1"/>
  <headerFooter alignWithMargins="0"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16</vt:i4>
      </vt:variant>
    </vt:vector>
  </HeadingPairs>
  <TitlesOfParts>
    <vt:vector size="21" baseType="lpstr">
      <vt:lpstr>КС-2 (16 граф ТЕР_ФЕР)</vt:lpstr>
      <vt:lpstr>Рекомендации (2)</vt:lpstr>
      <vt:lpstr>КС-3</vt:lpstr>
      <vt:lpstr>Порядок заполнения</vt:lpstr>
      <vt:lpstr>Акт &amp; граф УЕР</vt:lpstr>
      <vt:lpstr>'Акт &amp; граф УЕР'!FOTImp</vt:lpstr>
      <vt:lpstr>'КС-2 (16 граф ТЕР_ФЕР)'!FOTImp</vt:lpstr>
      <vt:lpstr>'КС-2 (16 граф ТЕР_ФЕР)'!Ind</vt:lpstr>
      <vt:lpstr>'КС-2 (16 граф ТЕР_ФЕР)'!Investor</vt:lpstr>
      <vt:lpstr>'КС-2 (16 граф ТЕР_ФЕР)'!Obosn</vt:lpstr>
      <vt:lpstr>'Акт &amp; граф УЕР'!Print_Titles</vt:lpstr>
      <vt:lpstr>'КС-2 (16 граф ТЕР_ФЕР)'!Print_Titles</vt:lpstr>
      <vt:lpstr>'Акт &amp; граф УЕР'!ReturnImp</vt:lpstr>
      <vt:lpstr>'КС-2 (16 граф ТЕР_ФЕР)'!ReturnImp</vt:lpstr>
      <vt:lpstr>'Акт &amp; граф УЕР'!SmPrImp</vt:lpstr>
      <vt:lpstr>'КС-2 (16 граф ТЕР_ФЕР)'!SmPrImp</vt:lpstr>
      <vt:lpstr>'КС-2 (16 граф ТЕР_ФЕР)'!Zakaz</vt:lpstr>
      <vt:lpstr>'Акт &amp; граф УЕР'!ZatrTrImp</vt:lpstr>
      <vt:lpstr>'КС-2 (16 граф ТЕР_ФЕР)'!ZatrTrImp</vt:lpstr>
      <vt:lpstr>'Акт &amp; граф УЕР'!Заголовки_для_печати</vt:lpstr>
      <vt:lpstr>'КС-2 (16 граф ТЕР_ФЕР)'!Заголовки_для_печати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Latysheva.OVi</dc:creator>
  <cp:lastModifiedBy>Коневская Жанна Ашотовна</cp:lastModifiedBy>
  <cp:lastPrinted>2025-09-30T11:33:51Z</cp:lastPrinted>
  <dcterms:created xsi:type="dcterms:W3CDTF">2002-07-24T02:50:49Z</dcterms:created>
  <dcterms:modified xsi:type="dcterms:W3CDTF">2026-01-27T14:23:50Z</dcterms:modified>
</cp:coreProperties>
</file>